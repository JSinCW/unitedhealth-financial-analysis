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pa\Downloads\"/>
    </mc:Choice>
  </mc:AlternateContent>
  <xr:revisionPtr revIDLastSave="0" documentId="8_{9F593C83-B094-44AC-A936-EB0AAE0FF22F}" xr6:coauthVersionLast="47" xr6:coauthVersionMax="47" xr10:uidLastSave="{00000000-0000-0000-0000-000000000000}"/>
  <bookViews>
    <workbookView xWindow="-110" yWindow="-110" windowWidth="19420" windowHeight="11500" activeTab="3" xr2:uid="{8023793D-D9D0-4CAE-B932-0FEB0C1FC4E4}"/>
  </bookViews>
  <sheets>
    <sheet name="UNH" sheetId="1" r:id="rId1"/>
    <sheet name="SPY" sheetId="3" r:id="rId2"/>
    <sheet name="Sheet4" sheetId="4" r:id="rId3"/>
    <sheet name="Proforma income statement" sheetId="5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5" l="1"/>
  <c r="G15" i="5"/>
  <c r="H15" i="5"/>
  <c r="F7" i="5"/>
  <c r="G7" i="5" s="1"/>
  <c r="C21" i="5"/>
  <c r="F21" i="5" s="1"/>
  <c r="C10" i="5"/>
  <c r="F10" i="5" s="1"/>
  <c r="C11" i="5"/>
  <c r="F11" i="5" s="1"/>
  <c r="C12" i="5"/>
  <c r="F12" i="5" s="1"/>
  <c r="C13" i="5"/>
  <c r="F13" i="5" s="1"/>
  <c r="C14" i="5"/>
  <c r="F14" i="5" s="1"/>
  <c r="C15" i="5"/>
  <c r="C16" i="5"/>
  <c r="F16" i="5" s="1"/>
  <c r="C17" i="5"/>
  <c r="F17" i="5" s="1"/>
  <c r="C18" i="5"/>
  <c r="F18" i="5" s="1"/>
  <c r="C19" i="5"/>
  <c r="F19" i="5" s="1"/>
  <c r="C20" i="5"/>
  <c r="F20" i="5" s="1"/>
  <c r="C9" i="5"/>
  <c r="C8" i="5"/>
  <c r="C7" i="5"/>
  <c r="C5" i="5"/>
  <c r="F5" i="5" s="1"/>
  <c r="C6" i="5"/>
  <c r="F6" i="5" s="1"/>
  <c r="O10" i="4"/>
  <c r="C4" i="5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3" i="4"/>
  <c r="H10" i="1"/>
  <c r="H11" i="1"/>
  <c r="H61" i="3"/>
  <c r="C61" i="4" s="1"/>
  <c r="H60" i="3"/>
  <c r="C60" i="4" s="1"/>
  <c r="H59" i="3"/>
  <c r="C59" i="4" s="1"/>
  <c r="H58" i="3"/>
  <c r="C58" i="4" s="1"/>
  <c r="H57" i="3"/>
  <c r="C57" i="4" s="1"/>
  <c r="H56" i="3"/>
  <c r="C56" i="4" s="1"/>
  <c r="H55" i="3"/>
  <c r="C55" i="4" s="1"/>
  <c r="H54" i="3"/>
  <c r="C54" i="4" s="1"/>
  <c r="H53" i="3"/>
  <c r="C53" i="4" s="1"/>
  <c r="H52" i="3"/>
  <c r="C52" i="4" s="1"/>
  <c r="H51" i="3"/>
  <c r="C51" i="4" s="1"/>
  <c r="H50" i="3"/>
  <c r="C50" i="4" s="1"/>
  <c r="H49" i="3"/>
  <c r="C49" i="4" s="1"/>
  <c r="H48" i="3"/>
  <c r="C48" i="4" s="1"/>
  <c r="H47" i="3"/>
  <c r="C47" i="4" s="1"/>
  <c r="H46" i="3"/>
  <c r="C46" i="4" s="1"/>
  <c r="H45" i="3"/>
  <c r="C45" i="4" s="1"/>
  <c r="H44" i="3"/>
  <c r="C44" i="4" s="1"/>
  <c r="H43" i="3"/>
  <c r="C43" i="4" s="1"/>
  <c r="H42" i="3"/>
  <c r="C42" i="4" s="1"/>
  <c r="H41" i="3"/>
  <c r="C41" i="4" s="1"/>
  <c r="H40" i="3"/>
  <c r="C40" i="4" s="1"/>
  <c r="H39" i="3"/>
  <c r="C39" i="4" s="1"/>
  <c r="H38" i="3"/>
  <c r="C38" i="4" s="1"/>
  <c r="H37" i="3"/>
  <c r="C37" i="4" s="1"/>
  <c r="H36" i="3"/>
  <c r="C36" i="4" s="1"/>
  <c r="H35" i="3"/>
  <c r="C35" i="4" s="1"/>
  <c r="H34" i="3"/>
  <c r="C34" i="4" s="1"/>
  <c r="H33" i="3"/>
  <c r="C33" i="4" s="1"/>
  <c r="H32" i="3"/>
  <c r="C32" i="4" s="1"/>
  <c r="H31" i="3"/>
  <c r="C31" i="4" s="1"/>
  <c r="H30" i="3"/>
  <c r="C30" i="4" s="1"/>
  <c r="H29" i="3"/>
  <c r="C29" i="4" s="1"/>
  <c r="H28" i="3"/>
  <c r="C28" i="4" s="1"/>
  <c r="H27" i="3"/>
  <c r="C27" i="4" s="1"/>
  <c r="H26" i="3"/>
  <c r="C26" i="4" s="1"/>
  <c r="H25" i="3"/>
  <c r="C25" i="4" s="1"/>
  <c r="H24" i="3"/>
  <c r="C24" i="4" s="1"/>
  <c r="H23" i="3"/>
  <c r="C23" i="4" s="1"/>
  <c r="H22" i="3"/>
  <c r="C22" i="4" s="1"/>
  <c r="H21" i="3"/>
  <c r="C21" i="4" s="1"/>
  <c r="H20" i="3"/>
  <c r="C20" i="4" s="1"/>
  <c r="H19" i="3"/>
  <c r="C19" i="4" s="1"/>
  <c r="H18" i="3"/>
  <c r="C18" i="4" s="1"/>
  <c r="H17" i="3"/>
  <c r="C17" i="4" s="1"/>
  <c r="H16" i="3"/>
  <c r="C16" i="4" s="1"/>
  <c r="H15" i="3"/>
  <c r="C15" i="4" s="1"/>
  <c r="H14" i="3"/>
  <c r="C14" i="4" s="1"/>
  <c r="H13" i="3"/>
  <c r="C13" i="4" s="1"/>
  <c r="H12" i="3"/>
  <c r="C12" i="4" s="1"/>
  <c r="H11" i="3"/>
  <c r="C11" i="4" s="1"/>
  <c r="H10" i="3"/>
  <c r="C10" i="4" s="1"/>
  <c r="H9" i="3"/>
  <c r="C9" i="4" s="1"/>
  <c r="H8" i="3"/>
  <c r="C8" i="4" s="1"/>
  <c r="H7" i="3"/>
  <c r="C7" i="4" s="1"/>
  <c r="H6" i="3"/>
  <c r="C6" i="4" s="1"/>
  <c r="H5" i="3"/>
  <c r="C5" i="4" s="1"/>
  <c r="H4" i="3"/>
  <c r="C4" i="4" s="1"/>
  <c r="H3" i="3"/>
  <c r="C3" i="4" s="1"/>
  <c r="G3" i="4" s="1"/>
  <c r="H43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9" i="1"/>
  <c r="H8" i="1"/>
  <c r="H7" i="1"/>
  <c r="H6" i="1"/>
  <c r="H5" i="1"/>
  <c r="H4" i="1"/>
  <c r="H3" i="1"/>
  <c r="G5" i="5" l="1"/>
  <c r="G8" i="5"/>
  <c r="G21" i="5"/>
  <c r="G20" i="5"/>
  <c r="G19" i="5"/>
  <c r="G18" i="5"/>
  <c r="G17" i="5"/>
  <c r="G16" i="5"/>
  <c r="G14" i="5"/>
  <c r="G13" i="5"/>
  <c r="G12" i="5"/>
  <c r="G11" i="5"/>
  <c r="G4" i="5"/>
  <c r="G6" i="5"/>
  <c r="H7" i="5"/>
  <c r="G10" i="5"/>
  <c r="G9" i="5"/>
  <c r="F8" i="5"/>
  <c r="F9" i="5"/>
  <c r="F4" i="5"/>
  <c r="H9" i="5" l="1"/>
  <c r="H4" i="5"/>
  <c r="H17" i="5"/>
  <c r="H21" i="5"/>
  <c r="H5" i="5"/>
  <c r="H10" i="5"/>
  <c r="H11" i="5"/>
  <c r="H12" i="5"/>
  <c r="H13" i="5"/>
  <c r="H14" i="5"/>
  <c r="H16" i="5"/>
  <c r="H18" i="5"/>
  <c r="H19" i="5"/>
  <c r="H20" i="5"/>
  <c r="H8" i="5"/>
  <c r="H6" i="5"/>
</calcChain>
</file>

<file path=xl/sharedStrings.xml><?xml version="1.0" encoding="utf-8"?>
<sst xmlns="http://schemas.openxmlformats.org/spreadsheetml/2006/main" count="65" uniqueCount="36">
  <si>
    <t>Date</t>
  </si>
  <si>
    <t>Open</t>
  </si>
  <si>
    <t>High</t>
  </si>
  <si>
    <t>Low</t>
  </si>
  <si>
    <t>Close </t>
  </si>
  <si>
    <t>Adj Close </t>
  </si>
  <si>
    <t>Volume</t>
  </si>
  <si>
    <t>RET</t>
  </si>
  <si>
    <t>US$ in millions</t>
  </si>
  <si>
    <t>12 months ended:</t>
  </si>
  <si>
    <t>Premiums</t>
  </si>
  <si>
    <t>Products</t>
  </si>
  <si>
    <t>Services</t>
  </si>
  <si>
    <t>Revenues, customers</t>
  </si>
  <si>
    <t>Medical costs</t>
  </si>
  <si>
    <t>Cost of products sold</t>
  </si>
  <si>
    <t>Cost of revenues</t>
  </si>
  <si>
    <t>Gross profit</t>
  </si>
  <si>
    <t>Investment and other income</t>
  </si>
  <si>
    <t>Operating costs</t>
  </si>
  <si>
    <t>Depreciation and amortization</t>
  </si>
  <si>
    <t>Earnings from operations</t>
  </si>
  <si>
    <t>Interest expense</t>
  </si>
  <si>
    <t>Earnings before income taxes</t>
  </si>
  <si>
    <t>Provision for income taxes</t>
  </si>
  <si>
    <t>Net earnings</t>
  </si>
  <si>
    <t>Earnings attributable to noncontrolling interests</t>
  </si>
  <si>
    <t>Net earnings attributable to UnitedHealth Group common shareholders</t>
  </si>
  <si>
    <r>
      <t>Equity beta (</t>
    </r>
    <r>
      <rPr>
        <sz val="10"/>
        <color rgb="FF0D0D0D"/>
        <rFont val="Times New Roman"/>
        <family val="1"/>
      </rPr>
      <t>β</t>
    </r>
    <r>
      <rPr>
        <sz val="7"/>
        <color rgb="FF0D0D0D"/>
        <rFont val="Segoe UI Variable Text"/>
      </rPr>
      <t>) = 0.5768</t>
    </r>
  </si>
  <si>
    <t>Corporate tax rate = 21% or 0.21</t>
  </si>
  <si>
    <t>Market value of debt (D) = $62,637</t>
  </si>
  <si>
    <r>
      <t>Market value of equity (</t>
    </r>
    <r>
      <rPr>
        <sz val="8"/>
        <color rgb="FF0D0D0D"/>
        <rFont val="KaTeX_Math"/>
      </rPr>
      <t>E</t>
    </r>
    <r>
      <rPr>
        <sz val="7"/>
        <color rgb="FF0D0D0D"/>
        <rFont val="Segoe UI Variable Text"/>
      </rPr>
      <t>) = $88,756</t>
    </r>
  </si>
  <si>
    <t>Asset Beta = Equity Beta / [1 + (1 - Tax Rate) * Debt/Equity Ratio]</t>
  </si>
  <si>
    <t xml:space="preserve">Percenatge of sales </t>
  </si>
  <si>
    <t>Pro-forma income statement</t>
  </si>
  <si>
    <t>Sales growth rate = 13%, based on average of previous 3 years sales growth rate…..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</si>
</sst>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[$-409]mmm\ d\,\ yyyy"/>
    <numFmt numFmtId="166" formatCode="#,##0_);\(#,##0\);&quot;—&quot;"/>
  </numFmts>
  <fonts count="13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232A31"/>
      <name val="Arial"/>
      <family val="2"/>
    </font>
    <font>
      <sz val="11"/>
      <color rgb="FF232A31"/>
      <name val="Arial"/>
      <family val="2"/>
    </font>
    <font>
      <sz val="11"/>
      <color rgb="FF252525"/>
      <name val="Calibri"/>
    </font>
    <font>
      <b/>
      <sz val="11"/>
      <color rgb="FF252525"/>
      <name val="Calibri"/>
    </font>
    <font>
      <sz val="7"/>
      <color rgb="FF0D0D0D"/>
      <name val="Segoe UI Variable Text"/>
    </font>
    <font>
      <sz val="10"/>
      <color rgb="FF0D0D0D"/>
      <name val="Times New Roman"/>
      <family val="1"/>
    </font>
    <font>
      <sz val="8"/>
      <color rgb="FF0D0D0D"/>
      <name val="KaTeX_Math"/>
    </font>
    <font>
      <i/>
      <sz val="11"/>
      <color theme="1"/>
      <name val="KaTeX_Math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5252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252525"/>
      </top>
      <bottom style="medium">
        <color rgb="FF252525"/>
      </bottom>
      <diagonal/>
    </border>
    <border>
      <left/>
      <right/>
      <top style="thin">
        <color rgb="FFE2E2E2"/>
      </top>
      <bottom/>
      <diagonal/>
    </border>
  </borders>
  <cellStyleXfs count="3">
    <xf numFmtId="0" fontId="0" fillId="0" borderId="0"/>
    <xf numFmtId="0" fontId="4" fillId="0" borderId="0"/>
    <xf numFmtId="9" fontId="10" fillId="0" borderId="0" applyFont="0" applyFill="0" applyBorder="0" applyAlignment="0" applyProtection="0"/>
  </cellStyleXfs>
  <cellXfs count="26">
    <xf numFmtId="0" fontId="0" fillId="0" borderId="0" xfId="0"/>
    <xf numFmtId="1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164" fontId="0" fillId="0" borderId="0" xfId="0" applyNumberFormat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15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2" fontId="3" fillId="2" borderId="0" xfId="0" applyNumberFormat="1" applyFont="1" applyFill="1" applyAlignment="1">
      <alignment horizontal="right" vertical="center"/>
    </xf>
    <xf numFmtId="0" fontId="4" fillId="0" borderId="0" xfId="1"/>
    <xf numFmtId="0" fontId="5" fillId="0" borderId="1" xfId="1" applyFont="1" applyBorder="1" applyAlignment="1">
      <alignment horizontal="right" vertical="top"/>
    </xf>
    <xf numFmtId="165" fontId="5" fillId="0" borderId="1" xfId="1" applyNumberFormat="1" applyFont="1" applyBorder="1" applyAlignment="1">
      <alignment horizontal="right" vertical="top"/>
    </xf>
    <xf numFmtId="0" fontId="4" fillId="0" borderId="0" xfId="1" applyAlignment="1">
      <alignment horizontal="left" wrapText="1" indent="1"/>
    </xf>
    <xf numFmtId="166" fontId="4" fillId="0" borderId="0" xfId="1" applyNumberFormat="1" applyAlignment="1">
      <alignment horizontal="right"/>
    </xf>
    <xf numFmtId="0" fontId="5" fillId="0" borderId="0" xfId="1" applyFont="1" applyAlignment="1">
      <alignment horizontal="left" wrapText="1" indent="2"/>
    </xf>
    <xf numFmtId="166" fontId="5" fillId="0" borderId="2" xfId="1" applyNumberFormat="1" applyFont="1" applyBorder="1" applyAlignment="1">
      <alignment horizontal="right"/>
    </xf>
    <xf numFmtId="0" fontId="5" fillId="0" borderId="0" xfId="1" applyFont="1" applyAlignment="1">
      <alignment horizontal="left" wrapText="1" indent="3"/>
    </xf>
    <xf numFmtId="0" fontId="5" fillId="0" borderId="0" xfId="1" applyFont="1" applyAlignment="1">
      <alignment horizontal="left" wrapText="1" indent="1"/>
    </xf>
    <xf numFmtId="0" fontId="6" fillId="0" borderId="0" xfId="0" applyFont="1" applyAlignment="1">
      <alignment horizontal="left" vertical="center" wrapText="1" indent="1"/>
    </xf>
    <xf numFmtId="0" fontId="9" fillId="0" borderId="0" xfId="0" applyFont="1"/>
    <xf numFmtId="2" fontId="0" fillId="0" borderId="0" xfId="0" applyNumberFormat="1"/>
    <xf numFmtId="10" fontId="0" fillId="0" borderId="0" xfId="2" applyNumberFormat="1" applyFont="1"/>
    <xf numFmtId="166" fontId="12" fillId="0" borderId="0" xfId="1" applyNumberFormat="1" applyFont="1" applyAlignment="1">
      <alignment horizontal="right"/>
    </xf>
    <xf numFmtId="0" fontId="11" fillId="0" borderId="0" xfId="0" applyFont="1" applyAlignment="1">
      <alignment horizontal="center"/>
    </xf>
  </cellXfs>
  <cellStyles count="3">
    <cellStyle name="Normal" xfId="0" builtinId="0"/>
    <cellStyle name="Normal 2" xfId="1" xr:uid="{9B1EDCE0-3C08-40BB-BB9A-504D4629CAB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Sheet4!$C$3:$C$61</c:f>
              <c:numCache>
                <c:formatCode>0.00</c:formatCode>
                <c:ptCount val="59"/>
                <c:pt idx="0">
                  <c:v>1.4174169949352944E-2</c:v>
                </c:pt>
                <c:pt idx="1">
                  <c:v>-5.8915053932623307E-3</c:v>
                </c:pt>
                <c:pt idx="2">
                  <c:v>1.7883835148408966E-2</c:v>
                </c:pt>
                <c:pt idx="3">
                  <c:v>2.3364230692185961E-2</c:v>
                </c:pt>
                <c:pt idx="4">
                  <c:v>1.5384330911040855E-2</c:v>
                </c:pt>
                <c:pt idx="5">
                  <c:v>3.1942297784646856E-2</c:v>
                </c:pt>
                <c:pt idx="6">
                  <c:v>5.0577339427471779E-2</c:v>
                </c:pt>
                <c:pt idx="7">
                  <c:v>-3.7322937975220905E-2</c:v>
                </c:pt>
                <c:pt idx="8">
                  <c:v>2.9503506645739419E-2</c:v>
                </c:pt>
                <c:pt idx="9">
                  <c:v>5.2177185024144368E-2</c:v>
                </c:pt>
                <c:pt idx="10">
                  <c:v>2.0043926050706817E-2</c:v>
                </c:pt>
                <c:pt idx="11">
                  <c:v>4.1438120405942636E-2</c:v>
                </c:pt>
                <c:pt idx="12">
                  <c:v>9.1343124424409838E-2</c:v>
                </c:pt>
                <c:pt idx="13">
                  <c:v>-1.8249304051964121E-2</c:v>
                </c:pt>
                <c:pt idx="14">
                  <c:v>-5.0792718731649922E-2</c:v>
                </c:pt>
                <c:pt idx="15">
                  <c:v>-1.6241196205203368E-2</c:v>
                </c:pt>
                <c:pt idx="16">
                  <c:v>3.6548293491778239E-2</c:v>
                </c:pt>
                <c:pt idx="17">
                  <c:v>6.0858517993696681E-2</c:v>
                </c:pt>
                <c:pt idx="18">
                  <c:v>4.6389475234400734E-3</c:v>
                </c:pt>
                <c:pt idx="19">
                  <c:v>1.9850309144158862E-2</c:v>
                </c:pt>
                <c:pt idx="20">
                  <c:v>3.3128167994207036E-2</c:v>
                </c:pt>
                <c:pt idx="21">
                  <c:v>-2.513550989537372E-2</c:v>
                </c:pt>
                <c:pt idx="22">
                  <c:v>6.7756003014967092E-2</c:v>
                </c:pt>
                <c:pt idx="23">
                  <c:v>-6.1942880230297148E-2</c:v>
                </c:pt>
                <c:pt idx="24">
                  <c:v>5.5604424896708027E-2</c:v>
                </c:pt>
                <c:pt idx="25">
                  <c:v>8.5723381471941584E-2</c:v>
                </c:pt>
                <c:pt idx="26">
                  <c:v>-9.6157367443563957E-2</c:v>
                </c:pt>
                <c:pt idx="27">
                  <c:v>-4.082195905258923E-2</c:v>
                </c:pt>
                <c:pt idx="28">
                  <c:v>9.6813253343607242E-2</c:v>
                </c:pt>
                <c:pt idx="29">
                  <c:v>-8.6411062225015711E-2</c:v>
                </c:pt>
                <c:pt idx="30">
                  <c:v>2.2678593927176749E-3</c:v>
                </c:pt>
                <c:pt idx="31">
                  <c:v>-8.4945467960985899E-2</c:v>
                </c:pt>
                <c:pt idx="32">
                  <c:v>3.4393111837240919E-2</c:v>
                </c:pt>
                <c:pt idx="33">
                  <c:v>-2.9534985996342855E-2</c:v>
                </c:pt>
                <c:pt idx="34">
                  <c:v>-4.9397113184298624E-2</c:v>
                </c:pt>
                <c:pt idx="35">
                  <c:v>4.2576619563222673E-2</c:v>
                </c:pt>
                <c:pt idx="36">
                  <c:v>-8.0327682330184613E-3</c:v>
                </c:pt>
                <c:pt idx="37">
                  <c:v>7.3583661104732245E-2</c:v>
                </c:pt>
                <c:pt idx="38">
                  <c:v>-4.9638968215272472E-2</c:v>
                </c:pt>
                <c:pt idx="39">
                  <c:v>2.9766174150050118E-2</c:v>
                </c:pt>
                <c:pt idx="40">
                  <c:v>2.7741602575128255E-2</c:v>
                </c:pt>
                <c:pt idx="41">
                  <c:v>1.910652576751648E-2</c:v>
                </c:pt>
                <c:pt idx="42">
                  <c:v>6.5534102938951122E-3</c:v>
                </c:pt>
                <c:pt idx="43">
                  <c:v>5.6367654498495678E-2</c:v>
                </c:pt>
                <c:pt idx="44">
                  <c:v>4.1976473199422992E-2</c:v>
                </c:pt>
                <c:pt idx="45">
                  <c:v>2.7831641382456862E-2</c:v>
                </c:pt>
                <c:pt idx="46">
                  <c:v>-5.9808951500893714E-3</c:v>
                </c:pt>
                <c:pt idx="47">
                  <c:v>3.2636693595597732E-2</c:v>
                </c:pt>
                <c:pt idx="48">
                  <c:v>0.10878878359080879</c:v>
                </c:pt>
                <c:pt idx="49">
                  <c:v>-2.1033233780263116E-2</c:v>
                </c:pt>
                <c:pt idx="50">
                  <c:v>-4.1274482926680678E-2</c:v>
                </c:pt>
                <c:pt idx="51">
                  <c:v>6.9801544628018464E-2</c:v>
                </c:pt>
                <c:pt idx="52">
                  <c:v>6.3526720731960751E-2</c:v>
                </c:pt>
                <c:pt idx="53">
                  <c:v>1.3274336283185972E-2</c:v>
                </c:pt>
                <c:pt idx="54">
                  <c:v>4.7643574555755741E-2</c:v>
                </c:pt>
                <c:pt idx="55">
                  <c:v>0.13362806022438156</c:v>
                </c:pt>
                <c:pt idx="56">
                  <c:v>-0.1299756885228055</c:v>
                </c:pt>
                <c:pt idx="57">
                  <c:v>-7.9187410204149988E-2</c:v>
                </c:pt>
                <c:pt idx="58">
                  <c:v>4.5311136470431723E-3</c:v>
                </c:pt>
              </c:numCache>
            </c:numRef>
          </c:xVal>
          <c:yVal>
            <c:numRef>
              <c:f>Sheet4!$B$3:$B$61</c:f>
              <c:numCache>
                <c:formatCode>0.00</c:formatCode>
                <c:ptCount val="59"/>
                <c:pt idx="0">
                  <c:v>4.9123117803365757E-2</c:v>
                </c:pt>
                <c:pt idx="1">
                  <c:v>-3.1084258766584827E-2</c:v>
                </c:pt>
                <c:pt idx="2">
                  <c:v>-9.3519919742904856E-3</c:v>
                </c:pt>
                <c:pt idx="3">
                  <c:v>2.4367728001114752E-2</c:v>
                </c:pt>
                <c:pt idx="4">
                  <c:v>0.13615134963983211</c:v>
                </c:pt>
                <c:pt idx="5">
                  <c:v>2.8055256037271326E-2</c:v>
                </c:pt>
                <c:pt idx="6">
                  <c:v>2.4127513282633517E-2</c:v>
                </c:pt>
                <c:pt idx="7">
                  <c:v>-1.8386714116251479E-2</c:v>
                </c:pt>
                <c:pt idx="8">
                  <c:v>2.2342933278671762E-3</c:v>
                </c:pt>
                <c:pt idx="9">
                  <c:v>-3.5450195737277035E-2</c:v>
                </c:pt>
                <c:pt idx="10">
                  <c:v>-2.4663979790578106E-2</c:v>
                </c:pt>
                <c:pt idx="11">
                  <c:v>-4.7936403025629515E-2</c:v>
                </c:pt>
                <c:pt idx="12">
                  <c:v>3.2509999431311831E-2</c:v>
                </c:pt>
                <c:pt idx="13">
                  <c:v>6.6363452597533845E-2</c:v>
                </c:pt>
                <c:pt idx="14">
                  <c:v>5.7932892795278024E-2</c:v>
                </c:pt>
                <c:pt idx="15">
                  <c:v>-5.8831817083970672E-2</c:v>
                </c:pt>
                <c:pt idx="16">
                  <c:v>5.7849128111226999E-2</c:v>
                </c:pt>
                <c:pt idx="17">
                  <c:v>-1.3547004956733555E-2</c:v>
                </c:pt>
                <c:pt idx="18">
                  <c:v>-9.8573389344092099E-3</c:v>
                </c:pt>
                <c:pt idx="19">
                  <c:v>4.4984353268428423E-2</c:v>
                </c:pt>
                <c:pt idx="20">
                  <c:v>-7.0346553882006946E-3</c:v>
                </c:pt>
                <c:pt idx="21">
                  <c:v>-4.6578611694029548E-2</c:v>
                </c:pt>
                <c:pt idx="22">
                  <c:v>-5.5552317108714666E-2</c:v>
                </c:pt>
                <c:pt idx="23">
                  <c:v>-3.2103362672083136E-2</c:v>
                </c:pt>
                <c:pt idx="24">
                  <c:v>-1.3305127205923251E-2</c:v>
                </c:pt>
                <c:pt idx="25">
                  <c:v>0.10267848008021119</c:v>
                </c:pt>
                <c:pt idx="26">
                  <c:v>-2.7520197397222224E-2</c:v>
                </c:pt>
                <c:pt idx="27">
                  <c:v>-4.2434404832224826E-2</c:v>
                </c:pt>
                <c:pt idx="28">
                  <c:v>5.9665630174049911E-2</c:v>
                </c:pt>
                <c:pt idx="29">
                  <c:v>3.3924135195507299E-2</c:v>
                </c:pt>
                <c:pt idx="30">
                  <c:v>-2.3146259890692633E-2</c:v>
                </c:pt>
                <c:pt idx="31">
                  <c:v>1.6317206494265157E-4</c:v>
                </c:pt>
                <c:pt idx="32">
                  <c:v>7.1650273224043604E-2</c:v>
                </c:pt>
                <c:pt idx="33">
                  <c:v>6.9994717379819882E-3</c:v>
                </c:pt>
                <c:pt idx="34">
                  <c:v>-5.5821106446652058E-2</c:v>
                </c:pt>
                <c:pt idx="35">
                  <c:v>0.13037962788949442</c:v>
                </c:pt>
                <c:pt idx="36">
                  <c:v>-3.5286118980169978E-2</c:v>
                </c:pt>
                <c:pt idx="37">
                  <c:v>0.18259541166380777</c:v>
                </c:pt>
                <c:pt idx="38">
                  <c:v>-6.1333333333333351E-2</c:v>
                </c:pt>
                <c:pt idx="39">
                  <c:v>9.8315677158753445E-3</c:v>
                </c:pt>
                <c:pt idx="40">
                  <c:v>3.3176723798524765E-2</c:v>
                </c:pt>
                <c:pt idx="41">
                  <c:v>-2.7863540098492012E-2</c:v>
                </c:pt>
                <c:pt idx="42">
                  <c:v>3.289144242679809E-2</c:v>
                </c:pt>
                <c:pt idx="43">
                  <c:v>7.5664795600158818E-2</c:v>
                </c:pt>
                <c:pt idx="44">
                  <c:v>0.11995173990347996</c:v>
                </c:pt>
                <c:pt idx="45">
                  <c:v>-4.079051383399257E-3</c:v>
                </c:pt>
                <c:pt idx="46">
                  <c:v>-4.5340658677211931E-2</c:v>
                </c:pt>
                <c:pt idx="47">
                  <c:v>4.2614798728479952E-2</c:v>
                </c:pt>
                <c:pt idx="48">
                  <c:v>0.10227233304423256</c:v>
                </c:pt>
                <c:pt idx="49">
                  <c:v>-1.7251372268248577E-2</c:v>
                </c:pt>
                <c:pt idx="50">
                  <c:v>-2.4826554210312102E-3</c:v>
                </c:pt>
                <c:pt idx="51">
                  <c:v>3.2262594347902462E-2</c:v>
                </c:pt>
                <c:pt idx="52">
                  <c:v>3.0981939266712555E-2</c:v>
                </c:pt>
                <c:pt idx="53">
                  <c:v>-3.2496410687397059E-2</c:v>
                </c:pt>
                <c:pt idx="54">
                  <c:v>4.2340402233821184E-2</c:v>
                </c:pt>
                <c:pt idx="55">
                  <c:v>0.17785898538263134</c:v>
                </c:pt>
                <c:pt idx="56">
                  <c:v>-2.1867115222876432E-2</c:v>
                </c:pt>
                <c:pt idx="57">
                  <c:v>-6.4221627577522367E-2</c:v>
                </c:pt>
                <c:pt idx="58">
                  <c:v>-6.9668680212337408E-2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AC-4E9F-8073-DF07712A6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552719"/>
        <c:axId val="1880551279"/>
      </c:scatterChart>
      <c:valAx>
        <c:axId val="188055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551279"/>
        <c:crosses val="autoZero"/>
        <c:crossBetween val="midCat"/>
      </c:valAx>
      <c:valAx>
        <c:axId val="188055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55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92075</xdr:colOff>
      <xdr:row>4</xdr:row>
      <xdr:rowOff>38100</xdr:rowOff>
    </xdr:from>
    <xdr:to>
      <xdr:col>12</xdr:col>
      <xdr:colOff>396875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9049CD-CCCB-25AD-4FC4-361B4F1DC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pa\Downloads\tsla.xlsx" TargetMode="External"/><Relationship Id="rId1" Type="http://schemas.openxmlformats.org/officeDocument/2006/relationships/externalLinkPath" Target="ts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sla"/>
      <sheetName val="spy"/>
      <sheetName val="scl"/>
      <sheetName val="Sheet4"/>
    </sheetNames>
    <sheetDataSet>
      <sheetData sheetId="0"/>
      <sheetData sheetId="1">
        <row r="1">
          <cell r="F1">
            <v>576.70000000000005</v>
          </cell>
        </row>
        <row r="2">
          <cell r="F2">
            <v>568.64</v>
          </cell>
        </row>
        <row r="3">
          <cell r="F3">
            <v>572.01</v>
          </cell>
        </row>
        <row r="4">
          <cell r="F4">
            <v>561.96</v>
          </cell>
        </row>
        <row r="5">
          <cell r="F5">
            <v>549.13</v>
          </cell>
        </row>
        <row r="6">
          <cell r="F6">
            <v>540.80999999999995</v>
          </cell>
        </row>
        <row r="7">
          <cell r="F7">
            <v>524.07000000000005</v>
          </cell>
        </row>
        <row r="8">
          <cell r="F8">
            <v>498.84</v>
          </cell>
        </row>
        <row r="9">
          <cell r="F9">
            <v>518.17999999999995</v>
          </cell>
        </row>
        <row r="10">
          <cell r="F10">
            <v>503.33</v>
          </cell>
        </row>
        <row r="11">
          <cell r="F11">
            <v>478.37</v>
          </cell>
        </row>
        <row r="12">
          <cell r="F12">
            <v>468.97</v>
          </cell>
        </row>
        <row r="13">
          <cell r="F13">
            <v>450.31</v>
          </cell>
        </row>
        <row r="14">
          <cell r="F14">
            <v>412.62</v>
          </cell>
        </row>
        <row r="15">
          <cell r="F15">
            <v>420.29</v>
          </cell>
        </row>
        <row r="16">
          <cell r="F16">
            <v>442.78</v>
          </cell>
        </row>
        <row r="17">
          <cell r="F17">
            <v>450.09</v>
          </cell>
        </row>
        <row r="18">
          <cell r="F18">
            <v>434.22</v>
          </cell>
        </row>
        <row r="19">
          <cell r="F19">
            <v>409.31</v>
          </cell>
        </row>
        <row r="20">
          <cell r="F20">
            <v>407.42</v>
          </cell>
        </row>
        <row r="21">
          <cell r="F21">
            <v>399.49</v>
          </cell>
        </row>
        <row r="22">
          <cell r="F22">
            <v>386.68</v>
          </cell>
        </row>
        <row r="23">
          <cell r="F23">
            <v>396.65</v>
          </cell>
        </row>
        <row r="24">
          <cell r="F24">
            <v>371.48</v>
          </cell>
        </row>
        <row r="25">
          <cell r="F25">
            <v>396.01</v>
          </cell>
        </row>
        <row r="26">
          <cell r="F26">
            <v>375.15</v>
          </cell>
        </row>
        <row r="27">
          <cell r="F27">
            <v>345.53</v>
          </cell>
        </row>
        <row r="28">
          <cell r="F28">
            <v>382.29</v>
          </cell>
        </row>
        <row r="29">
          <cell r="F29">
            <v>398.56</v>
          </cell>
        </row>
        <row r="30">
          <cell r="F30">
            <v>363.38</v>
          </cell>
        </row>
        <row r="31">
          <cell r="F31">
            <v>397.75</v>
          </cell>
        </row>
        <row r="32">
          <cell r="F32">
            <v>396.85</v>
          </cell>
        </row>
        <row r="33">
          <cell r="F33">
            <v>433.69</v>
          </cell>
        </row>
        <row r="34">
          <cell r="F34">
            <v>419.27</v>
          </cell>
        </row>
        <row r="35">
          <cell r="F35">
            <v>432.03</v>
          </cell>
        </row>
        <row r="36">
          <cell r="F36">
            <v>454.48</v>
          </cell>
        </row>
        <row r="37">
          <cell r="F37">
            <v>435.92</v>
          </cell>
        </row>
        <row r="38">
          <cell r="F38">
            <v>439.45</v>
          </cell>
        </row>
        <row r="39">
          <cell r="F39">
            <v>409.33</v>
          </cell>
        </row>
        <row r="40">
          <cell r="F40">
            <v>430.71</v>
          </cell>
        </row>
        <row r="41">
          <cell r="F41">
            <v>418.26</v>
          </cell>
        </row>
        <row r="42">
          <cell r="F42">
            <v>406.97</v>
          </cell>
        </row>
        <row r="43">
          <cell r="F43">
            <v>399.34</v>
          </cell>
        </row>
        <row r="44">
          <cell r="F44">
            <v>396.74</v>
          </cell>
        </row>
        <row r="45">
          <cell r="F45">
            <v>375.57</v>
          </cell>
        </row>
        <row r="46">
          <cell r="F46">
            <v>360.44</v>
          </cell>
        </row>
        <row r="47">
          <cell r="F47">
            <v>350.68</v>
          </cell>
        </row>
        <row r="48">
          <cell r="F48">
            <v>352.79</v>
          </cell>
        </row>
        <row r="49">
          <cell r="F49">
            <v>341.64</v>
          </cell>
        </row>
        <row r="50">
          <cell r="F50">
            <v>308.12</v>
          </cell>
        </row>
        <row r="51">
          <cell r="F51">
            <v>314.74</v>
          </cell>
        </row>
        <row r="52">
          <cell r="F52">
            <v>328.29</v>
          </cell>
        </row>
        <row r="53">
          <cell r="F53">
            <v>306.87</v>
          </cell>
        </row>
        <row r="54">
          <cell r="F54">
            <v>288.54000000000002</v>
          </cell>
        </row>
        <row r="55">
          <cell r="F55">
            <v>284.76</v>
          </cell>
        </row>
        <row r="56">
          <cell r="F56">
            <v>271.81</v>
          </cell>
        </row>
        <row r="57">
          <cell r="F57">
            <v>239.77</v>
          </cell>
        </row>
        <row r="58">
          <cell r="F58">
            <v>275.58999999999997</v>
          </cell>
        </row>
        <row r="59">
          <cell r="F59">
            <v>299.29000000000002</v>
          </cell>
        </row>
        <row r="60">
          <cell r="F60">
            <v>297.94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0365-4BF6-46BA-B148-FAEECBA98020}">
  <dimension ref="A1:H76"/>
  <sheetViews>
    <sheetView workbookViewId="0">
      <selection sqref="A1:XFD1"/>
    </sheetView>
  </sheetViews>
  <sheetFormatPr defaultRowHeight="14.5"/>
  <cols>
    <col min="1" max="1" width="10.08984375" bestFit="1" customWidth="1"/>
    <col min="2" max="2" width="9.1796875" bestFit="1" customWidth="1"/>
    <col min="6" max="6" width="10.26953125" bestFit="1" customWidth="1"/>
    <col min="7" max="7" width="11.7265625" bestFit="1" customWidth="1"/>
  </cols>
  <sheetData>
    <row r="1" spans="1: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1"/>
      <c r="B2" s="2"/>
      <c r="C2" s="2"/>
      <c r="D2" s="2"/>
      <c r="E2" s="2"/>
      <c r="F2" s="2"/>
      <c r="G2" s="3"/>
      <c r="H2" s="4"/>
    </row>
    <row r="3" spans="1:8">
      <c r="A3" s="1">
        <v>45597</v>
      </c>
      <c r="B3" s="2">
        <v>565.12</v>
      </c>
      <c r="C3" s="2">
        <v>630.73</v>
      </c>
      <c r="D3" s="2">
        <v>554.4</v>
      </c>
      <c r="E3" s="2">
        <v>592.23</v>
      </c>
      <c r="F3" s="2">
        <v>592.23</v>
      </c>
      <c r="G3" s="3">
        <v>39257900</v>
      </c>
      <c r="H3" s="4">
        <f t="shared" ref="H3" si="0">F3/F4-1</f>
        <v>4.9123117803365757E-2</v>
      </c>
    </row>
    <row r="4" spans="1:8">
      <c r="A4" s="1">
        <v>45566</v>
      </c>
      <c r="B4" s="2">
        <v>585</v>
      </c>
      <c r="C4" s="2">
        <v>608.63</v>
      </c>
      <c r="D4" s="2">
        <v>543</v>
      </c>
      <c r="E4" s="2">
        <v>564.5</v>
      </c>
      <c r="F4" s="2">
        <v>564.5</v>
      </c>
      <c r="G4" s="3">
        <v>74141000</v>
      </c>
      <c r="H4" s="4">
        <f>F4/F5-1</f>
        <v>-3.1084258766584827E-2</v>
      </c>
    </row>
    <row r="5" spans="1:8">
      <c r="A5" s="1">
        <v>45536</v>
      </c>
      <c r="B5" s="2">
        <v>592.52</v>
      </c>
      <c r="C5" s="2">
        <v>607.94000000000005</v>
      </c>
      <c r="D5" s="2">
        <v>566</v>
      </c>
      <c r="E5" s="2">
        <v>584.67999999999995</v>
      </c>
      <c r="F5" s="2">
        <v>582.61</v>
      </c>
      <c r="G5" s="3">
        <v>60936400</v>
      </c>
      <c r="H5" s="4">
        <f t="shared" ref="H5:H61" si="1">F5/F6-1</f>
        <v>-9.3519919742904856E-3</v>
      </c>
    </row>
    <row r="6" spans="1:8">
      <c r="A6" s="1">
        <v>45505</v>
      </c>
      <c r="B6" s="2">
        <v>577.20000000000005</v>
      </c>
      <c r="C6" s="2">
        <v>593.26</v>
      </c>
      <c r="D6" s="2">
        <v>557.03</v>
      </c>
      <c r="E6" s="2">
        <v>590.20000000000005</v>
      </c>
      <c r="F6" s="2">
        <v>588.11</v>
      </c>
      <c r="G6" s="3">
        <v>60428700</v>
      </c>
      <c r="H6" s="4">
        <f t="shared" si="1"/>
        <v>2.4367728001114752E-2</v>
      </c>
    </row>
    <row r="7" spans="1:8">
      <c r="A7" s="1">
        <v>45474</v>
      </c>
      <c r="B7" s="2">
        <v>506.75</v>
      </c>
      <c r="C7" s="2">
        <v>581.5</v>
      </c>
      <c r="D7" s="2">
        <v>484.5</v>
      </c>
      <c r="E7" s="2">
        <v>576.16</v>
      </c>
      <c r="F7" s="2">
        <v>574.12</v>
      </c>
      <c r="G7" s="3">
        <v>95463400</v>
      </c>
      <c r="H7" s="4">
        <f t="shared" si="1"/>
        <v>0.13615134963983211</v>
      </c>
    </row>
    <row r="8" spans="1:8">
      <c r="A8" s="1">
        <v>45444</v>
      </c>
      <c r="B8" s="2">
        <v>494.13</v>
      </c>
      <c r="C8" s="2">
        <v>509.4</v>
      </c>
      <c r="D8" s="2">
        <v>478.11</v>
      </c>
      <c r="E8" s="2">
        <v>509.26</v>
      </c>
      <c r="F8" s="2">
        <v>505.32</v>
      </c>
      <c r="G8" s="3">
        <v>89757500</v>
      </c>
      <c r="H8" s="4">
        <f t="shared" si="1"/>
        <v>2.8055256037271326E-2</v>
      </c>
    </row>
    <row r="9" spans="1:8">
      <c r="A9" s="1">
        <v>45413</v>
      </c>
      <c r="B9" s="2">
        <v>479.26</v>
      </c>
      <c r="C9" s="2">
        <v>528.16</v>
      </c>
      <c r="D9" s="2">
        <v>473.27</v>
      </c>
      <c r="E9" s="2">
        <v>495.37</v>
      </c>
      <c r="F9" s="2">
        <v>491.53</v>
      </c>
      <c r="G9" s="3">
        <v>72644700</v>
      </c>
      <c r="H9" s="4">
        <f t="shared" si="1"/>
        <v>2.4127513282633517E-2</v>
      </c>
    </row>
    <row r="10" spans="1:8">
      <c r="A10" s="1">
        <v>45383</v>
      </c>
      <c r="B10" s="2">
        <v>494.47</v>
      </c>
      <c r="C10" s="2">
        <v>507.3</v>
      </c>
      <c r="D10" s="2">
        <v>436.38</v>
      </c>
      <c r="E10" s="2">
        <v>483.7</v>
      </c>
      <c r="F10" s="2">
        <v>479.95</v>
      </c>
      <c r="G10" s="3">
        <v>120751600</v>
      </c>
      <c r="H10" s="4">
        <f>F10/F11-1</f>
        <v>-1.8386714116251479E-2</v>
      </c>
    </row>
    <row r="11" spans="1:8">
      <c r="A11" s="7">
        <v>45352</v>
      </c>
      <c r="B11" s="10">
        <v>489.42</v>
      </c>
      <c r="C11" s="8">
        <v>496.2</v>
      </c>
      <c r="D11" s="8">
        <v>468.19</v>
      </c>
      <c r="E11" s="8">
        <v>494.7</v>
      </c>
      <c r="F11" s="8">
        <v>488.94</v>
      </c>
      <c r="G11" s="9">
        <v>82467300</v>
      </c>
      <c r="H11" s="4">
        <f>F11/F12-1</f>
        <v>2.2342933278671762E-3</v>
      </c>
    </row>
    <row r="12" spans="1:8">
      <c r="A12" s="1">
        <v>45323</v>
      </c>
      <c r="B12" s="2">
        <v>508.83</v>
      </c>
      <c r="C12" s="2">
        <v>532.80999999999995</v>
      </c>
      <c r="D12" s="2">
        <v>484.39</v>
      </c>
      <c r="E12" s="2">
        <v>493.6</v>
      </c>
      <c r="F12" s="2">
        <v>487.85</v>
      </c>
      <c r="G12" s="3">
        <v>70448600</v>
      </c>
      <c r="H12" s="4">
        <f t="shared" si="1"/>
        <v>-3.5450195737277035E-2</v>
      </c>
    </row>
    <row r="13" spans="1:8">
      <c r="A13" s="1">
        <v>45292</v>
      </c>
      <c r="B13" s="2">
        <v>526.84</v>
      </c>
      <c r="C13" s="2">
        <v>549</v>
      </c>
      <c r="D13" s="2">
        <v>479</v>
      </c>
      <c r="E13" s="2">
        <v>511.74</v>
      </c>
      <c r="F13" s="2">
        <v>505.78</v>
      </c>
      <c r="G13" s="3">
        <v>97040500</v>
      </c>
      <c r="H13" s="4">
        <f t="shared" si="1"/>
        <v>-2.4663979790578106E-2</v>
      </c>
    </row>
    <row r="14" spans="1:8">
      <c r="A14" s="1">
        <v>45261</v>
      </c>
      <c r="B14" s="2">
        <v>550.41999999999996</v>
      </c>
      <c r="C14" s="2">
        <v>554.70000000000005</v>
      </c>
      <c r="D14" s="2">
        <v>515.87</v>
      </c>
      <c r="E14" s="2">
        <v>526.47</v>
      </c>
      <c r="F14" s="2">
        <v>518.57000000000005</v>
      </c>
      <c r="G14" s="3">
        <v>61590800</v>
      </c>
      <c r="H14" s="4">
        <f t="shared" si="1"/>
        <v>-4.7936403025629515E-2</v>
      </c>
    </row>
    <row r="15" spans="1:8">
      <c r="A15" s="1">
        <v>45231</v>
      </c>
      <c r="B15" s="2">
        <v>529.98</v>
      </c>
      <c r="C15" s="2">
        <v>553.94000000000005</v>
      </c>
      <c r="D15" s="2">
        <v>526.79999999999995</v>
      </c>
      <c r="E15" s="2">
        <v>552.97</v>
      </c>
      <c r="F15" s="2">
        <v>544.67999999999995</v>
      </c>
      <c r="G15" s="3">
        <v>55879800</v>
      </c>
      <c r="H15" s="4">
        <f t="shared" si="1"/>
        <v>3.2509999431311831E-2</v>
      </c>
    </row>
    <row r="16" spans="1:8">
      <c r="A16" s="1">
        <v>45200</v>
      </c>
      <c r="B16" s="2">
        <v>505.53</v>
      </c>
      <c r="C16" s="2">
        <v>546.78</v>
      </c>
      <c r="D16" s="2">
        <v>503.14</v>
      </c>
      <c r="E16" s="2">
        <v>535.55999999999995</v>
      </c>
      <c r="F16" s="2">
        <v>527.53</v>
      </c>
      <c r="G16" s="3">
        <v>62294800</v>
      </c>
      <c r="H16" s="4">
        <f t="shared" si="1"/>
        <v>6.6363452597533845E-2</v>
      </c>
    </row>
    <row r="17" spans="1:8">
      <c r="A17" s="1">
        <v>45170</v>
      </c>
      <c r="B17" s="2">
        <v>479</v>
      </c>
      <c r="C17" s="2">
        <v>514.15</v>
      </c>
      <c r="D17" s="2">
        <v>472.12</v>
      </c>
      <c r="E17" s="2">
        <v>504.19</v>
      </c>
      <c r="F17" s="2">
        <v>494.7</v>
      </c>
      <c r="G17" s="3">
        <v>60020800</v>
      </c>
      <c r="H17" s="4">
        <f t="shared" si="1"/>
        <v>5.7932892795278024E-2</v>
      </c>
    </row>
    <row r="18" spans="1:8">
      <c r="A18" s="1">
        <v>45139</v>
      </c>
      <c r="B18" s="2">
        <v>507.5</v>
      </c>
      <c r="C18" s="2">
        <v>513.65</v>
      </c>
      <c r="D18" s="2">
        <v>476.29</v>
      </c>
      <c r="E18" s="2">
        <v>476.58</v>
      </c>
      <c r="F18" s="2">
        <v>467.61</v>
      </c>
      <c r="G18" s="3">
        <v>52515700</v>
      </c>
      <c r="H18" s="4">
        <f t="shared" si="1"/>
        <v>-5.8831817083970672E-2</v>
      </c>
    </row>
    <row r="19" spans="1:8">
      <c r="A19" s="1">
        <v>45108</v>
      </c>
      <c r="B19" s="2">
        <v>478.1</v>
      </c>
      <c r="C19" s="2">
        <v>515.86</v>
      </c>
      <c r="D19" s="2">
        <v>447.18</v>
      </c>
      <c r="E19" s="2">
        <v>506.37</v>
      </c>
      <c r="F19" s="2">
        <v>496.84</v>
      </c>
      <c r="G19" s="3">
        <v>89690900</v>
      </c>
      <c r="H19" s="4">
        <f t="shared" si="1"/>
        <v>5.7849128111226999E-2</v>
      </c>
    </row>
    <row r="20" spans="1:8">
      <c r="A20" s="1">
        <v>45078</v>
      </c>
      <c r="B20" s="2">
        <v>487.79</v>
      </c>
      <c r="C20" s="2">
        <v>502.9</v>
      </c>
      <c r="D20" s="2">
        <v>445.68</v>
      </c>
      <c r="E20" s="2">
        <v>480.64</v>
      </c>
      <c r="F20" s="2">
        <v>469.67</v>
      </c>
      <c r="G20" s="3">
        <v>92423100</v>
      </c>
      <c r="H20" s="4">
        <f t="shared" si="1"/>
        <v>-1.3547004956733555E-2</v>
      </c>
    </row>
    <row r="21" spans="1:8">
      <c r="A21" s="1">
        <v>45047</v>
      </c>
      <c r="B21" s="2">
        <v>494.59</v>
      </c>
      <c r="C21" s="2">
        <v>500.85</v>
      </c>
      <c r="D21" s="2">
        <v>472.54</v>
      </c>
      <c r="E21" s="2">
        <v>487.24</v>
      </c>
      <c r="F21" s="2">
        <v>476.12</v>
      </c>
      <c r="G21" s="3">
        <v>53962800</v>
      </c>
      <c r="H21" s="4">
        <f t="shared" si="1"/>
        <v>-9.8573389344092099E-3</v>
      </c>
    </row>
    <row r="22" spans="1:8">
      <c r="A22" s="1">
        <v>45017</v>
      </c>
      <c r="B22" s="2">
        <v>485.2</v>
      </c>
      <c r="C22" s="2">
        <v>530.45000000000005</v>
      </c>
      <c r="D22" s="2">
        <v>478.36</v>
      </c>
      <c r="E22" s="2">
        <v>492.09</v>
      </c>
      <c r="F22" s="2">
        <v>480.86</v>
      </c>
      <c r="G22" s="3">
        <v>66301400</v>
      </c>
      <c r="H22" s="4">
        <f t="shared" si="1"/>
        <v>4.4984353268428423E-2</v>
      </c>
    </row>
    <row r="23" spans="1:8">
      <c r="A23" s="1">
        <v>44986</v>
      </c>
      <c r="B23" s="2">
        <v>473.61</v>
      </c>
      <c r="C23" s="2">
        <v>486.29</v>
      </c>
      <c r="D23" s="2">
        <v>457.59</v>
      </c>
      <c r="E23" s="2">
        <v>472.59</v>
      </c>
      <c r="F23" s="2">
        <v>460.16</v>
      </c>
      <c r="G23" s="3">
        <v>72714700</v>
      </c>
      <c r="H23" s="4">
        <f t="shared" si="1"/>
        <v>-7.0346553882006946E-3</v>
      </c>
    </row>
    <row r="24" spans="1:8">
      <c r="A24" s="1">
        <v>44958</v>
      </c>
      <c r="B24" s="2">
        <v>499.95</v>
      </c>
      <c r="C24" s="2">
        <v>504.38</v>
      </c>
      <c r="D24" s="2">
        <v>463.89</v>
      </c>
      <c r="E24" s="2">
        <v>475.94</v>
      </c>
      <c r="F24" s="2">
        <v>463.42</v>
      </c>
      <c r="G24" s="3">
        <v>69806800</v>
      </c>
      <c r="H24" s="4">
        <f t="shared" si="1"/>
        <v>-4.6578611694029548E-2</v>
      </c>
    </row>
    <row r="25" spans="1:8">
      <c r="A25" s="1">
        <v>44927</v>
      </c>
      <c r="B25" s="2">
        <v>525.13</v>
      </c>
      <c r="C25" s="2">
        <v>525.63</v>
      </c>
      <c r="D25" s="2">
        <v>474.75</v>
      </c>
      <c r="E25" s="2">
        <v>499.19</v>
      </c>
      <c r="F25" s="2">
        <v>486.06</v>
      </c>
      <c r="G25" s="3">
        <v>81009900</v>
      </c>
      <c r="H25" s="4">
        <f t="shared" si="1"/>
        <v>-5.5552317108714666E-2</v>
      </c>
    </row>
    <row r="26" spans="1:8">
      <c r="A26" s="1">
        <v>44896</v>
      </c>
      <c r="B26" s="2">
        <v>552.36</v>
      </c>
      <c r="C26" s="2">
        <v>553</v>
      </c>
      <c r="D26" s="2">
        <v>515.72</v>
      </c>
      <c r="E26" s="2">
        <v>530.17999999999995</v>
      </c>
      <c r="F26" s="2">
        <v>514.65</v>
      </c>
      <c r="G26" s="3">
        <v>53391900</v>
      </c>
      <c r="H26" s="4">
        <f t="shared" si="1"/>
        <v>-3.2103362672083136E-2</v>
      </c>
    </row>
    <row r="27" spans="1:8">
      <c r="A27" s="1">
        <v>44866</v>
      </c>
      <c r="B27" s="2">
        <v>555</v>
      </c>
      <c r="C27" s="2">
        <v>555.69000000000005</v>
      </c>
      <c r="D27" s="2">
        <v>500.77</v>
      </c>
      <c r="E27" s="2">
        <v>547.76</v>
      </c>
      <c r="F27" s="2">
        <v>531.72</v>
      </c>
      <c r="G27" s="3">
        <v>77563700</v>
      </c>
      <c r="H27" s="4">
        <f t="shared" si="1"/>
        <v>-1.3305127205923251E-2</v>
      </c>
    </row>
    <row r="28" spans="1:8">
      <c r="A28" s="1">
        <v>44835</v>
      </c>
      <c r="B28" s="2">
        <v>507.08</v>
      </c>
      <c r="C28" s="2">
        <v>558.1</v>
      </c>
      <c r="D28" s="2">
        <v>487.74</v>
      </c>
      <c r="E28" s="2">
        <v>555.15</v>
      </c>
      <c r="F28" s="2">
        <v>538.89</v>
      </c>
      <c r="G28" s="3">
        <v>59743500</v>
      </c>
      <c r="H28" s="4">
        <f t="shared" si="1"/>
        <v>0.10267848008021119</v>
      </c>
    </row>
    <row r="29" spans="1:8">
      <c r="A29" s="1">
        <v>44805</v>
      </c>
      <c r="B29" s="2">
        <v>519.33000000000004</v>
      </c>
      <c r="C29" s="2">
        <v>535.02</v>
      </c>
      <c r="D29" s="2">
        <v>499</v>
      </c>
      <c r="E29" s="2">
        <v>505.04</v>
      </c>
      <c r="F29" s="2">
        <v>488.71</v>
      </c>
      <c r="G29" s="3">
        <v>54740000</v>
      </c>
      <c r="H29" s="4">
        <f t="shared" si="1"/>
        <v>-2.7520197397222224E-2</v>
      </c>
    </row>
    <row r="30" spans="1:8">
      <c r="A30" s="1">
        <v>44774</v>
      </c>
      <c r="B30" s="2">
        <v>542.27</v>
      </c>
      <c r="C30" s="2">
        <v>553.13</v>
      </c>
      <c r="D30" s="2">
        <v>519.16</v>
      </c>
      <c r="E30" s="2">
        <v>519.33000000000004</v>
      </c>
      <c r="F30" s="2">
        <v>502.54</v>
      </c>
      <c r="G30" s="3">
        <v>46357000</v>
      </c>
      <c r="H30" s="4">
        <f t="shared" si="1"/>
        <v>-4.2434404832224826E-2</v>
      </c>
    </row>
    <row r="31" spans="1:8">
      <c r="A31" s="1">
        <v>44743</v>
      </c>
      <c r="B31" s="2">
        <v>512.32000000000005</v>
      </c>
      <c r="C31" s="2">
        <v>544.34</v>
      </c>
      <c r="D31" s="2">
        <v>492.25</v>
      </c>
      <c r="E31" s="2">
        <v>542.34</v>
      </c>
      <c r="F31" s="2">
        <v>524.80999999999995</v>
      </c>
      <c r="G31" s="3">
        <v>58410400</v>
      </c>
      <c r="H31" s="4">
        <f t="shared" si="1"/>
        <v>5.9665630174049911E-2</v>
      </c>
    </row>
    <row r="32" spans="1:8">
      <c r="A32" s="1">
        <v>44713</v>
      </c>
      <c r="B32" s="2">
        <v>498.32</v>
      </c>
      <c r="C32" s="2">
        <v>518.70000000000005</v>
      </c>
      <c r="D32" s="2">
        <v>449.7</v>
      </c>
      <c r="E32" s="2">
        <v>513.63</v>
      </c>
      <c r="F32" s="2">
        <v>495.26</v>
      </c>
      <c r="G32" s="3">
        <v>84913200</v>
      </c>
      <c r="H32" s="4">
        <f t="shared" si="1"/>
        <v>3.3924135195507299E-2</v>
      </c>
    </row>
    <row r="33" spans="1:8">
      <c r="A33" s="1">
        <v>44682</v>
      </c>
      <c r="B33" s="2">
        <v>510.81</v>
      </c>
      <c r="C33" s="2">
        <v>513.51</v>
      </c>
      <c r="D33" s="2">
        <v>463.33</v>
      </c>
      <c r="E33" s="2">
        <v>496.78</v>
      </c>
      <c r="F33" s="2">
        <v>479.01</v>
      </c>
      <c r="G33" s="3">
        <v>68003600</v>
      </c>
      <c r="H33" s="4">
        <f t="shared" si="1"/>
        <v>-2.3146259890692633E-2</v>
      </c>
    </row>
    <row r="34" spans="1:8">
      <c r="A34" s="1">
        <v>44652</v>
      </c>
      <c r="B34" s="2">
        <v>510.68</v>
      </c>
      <c r="C34" s="2">
        <v>553.29</v>
      </c>
      <c r="D34" s="2">
        <v>504.53</v>
      </c>
      <c r="E34" s="2">
        <v>508.55</v>
      </c>
      <c r="F34" s="2">
        <v>490.36</v>
      </c>
      <c r="G34" s="3">
        <v>61462000</v>
      </c>
      <c r="H34" s="4">
        <f t="shared" si="1"/>
        <v>1.6317206494265157E-4</v>
      </c>
    </row>
    <row r="35" spans="1:8">
      <c r="A35" s="1">
        <v>44621</v>
      </c>
      <c r="B35" s="2">
        <v>470.89</v>
      </c>
      <c r="C35" s="2">
        <v>521.89</v>
      </c>
      <c r="D35" s="2">
        <v>467.73</v>
      </c>
      <c r="E35" s="2">
        <v>509.97</v>
      </c>
      <c r="F35" s="2">
        <v>490.28</v>
      </c>
      <c r="G35" s="3">
        <v>73714100</v>
      </c>
      <c r="H35" s="4">
        <f t="shared" si="1"/>
        <v>7.1650273224043604E-2</v>
      </c>
    </row>
    <row r="36" spans="1:8">
      <c r="A36" s="1">
        <v>44593</v>
      </c>
      <c r="B36" s="2">
        <v>475</v>
      </c>
      <c r="C36" s="2">
        <v>500.93</v>
      </c>
      <c r="D36" s="2">
        <v>445.74</v>
      </c>
      <c r="E36" s="2">
        <v>475.87</v>
      </c>
      <c r="F36" s="2">
        <v>457.5</v>
      </c>
      <c r="G36" s="3">
        <v>58656100</v>
      </c>
      <c r="H36" s="4">
        <f t="shared" si="1"/>
        <v>6.9994717379819882E-3</v>
      </c>
    </row>
    <row r="37" spans="1:8">
      <c r="A37" s="1">
        <v>44562</v>
      </c>
      <c r="B37" s="2">
        <v>500</v>
      </c>
      <c r="C37" s="2">
        <v>503.75</v>
      </c>
      <c r="D37" s="2">
        <v>447.27</v>
      </c>
      <c r="E37" s="2">
        <v>472.57</v>
      </c>
      <c r="F37" s="2">
        <v>454.32</v>
      </c>
      <c r="G37" s="3">
        <v>80739800</v>
      </c>
      <c r="H37" s="4">
        <f t="shared" si="1"/>
        <v>-5.5821106446652058E-2</v>
      </c>
    </row>
    <row r="38" spans="1:8">
      <c r="A38" s="1">
        <v>44531</v>
      </c>
      <c r="B38" s="2">
        <v>452.89</v>
      </c>
      <c r="C38" s="2">
        <v>509.23</v>
      </c>
      <c r="D38" s="2">
        <v>439.22</v>
      </c>
      <c r="E38" s="2">
        <v>502.14</v>
      </c>
      <c r="F38" s="2">
        <v>481.18</v>
      </c>
      <c r="G38" s="3">
        <v>64926200</v>
      </c>
      <c r="H38" s="4">
        <f t="shared" si="1"/>
        <v>0.13037962788949442</v>
      </c>
    </row>
    <row r="39" spans="1:8">
      <c r="A39" s="1">
        <v>44501</v>
      </c>
      <c r="B39" s="2">
        <v>461.82</v>
      </c>
      <c r="C39" s="2">
        <v>466</v>
      </c>
      <c r="D39" s="2">
        <v>436</v>
      </c>
      <c r="E39" s="2">
        <v>444.22</v>
      </c>
      <c r="F39" s="2">
        <v>425.68</v>
      </c>
      <c r="G39" s="3">
        <v>61100800</v>
      </c>
      <c r="H39" s="4">
        <f t="shared" si="1"/>
        <v>-3.5286118980169978E-2</v>
      </c>
    </row>
    <row r="40" spans="1:8">
      <c r="A40" s="1">
        <v>44470</v>
      </c>
      <c r="B40" s="2">
        <v>391.6</v>
      </c>
      <c r="C40" s="2">
        <v>461.39</v>
      </c>
      <c r="D40" s="2">
        <v>383.12</v>
      </c>
      <c r="E40" s="2">
        <v>460.47</v>
      </c>
      <c r="F40" s="2">
        <v>441.25</v>
      </c>
      <c r="G40" s="3">
        <v>60241500</v>
      </c>
      <c r="H40" s="4">
        <f t="shared" si="1"/>
        <v>0.18259541166380777</v>
      </c>
    </row>
    <row r="41" spans="1:8">
      <c r="A41" s="1">
        <v>44440</v>
      </c>
      <c r="B41" s="2">
        <v>416.54</v>
      </c>
      <c r="C41" s="2">
        <v>424.4</v>
      </c>
      <c r="D41" s="2">
        <v>390.46</v>
      </c>
      <c r="E41" s="2">
        <v>390.74</v>
      </c>
      <c r="F41" s="2">
        <v>373.12</v>
      </c>
      <c r="G41" s="3">
        <v>59612800</v>
      </c>
      <c r="H41" s="4">
        <f t="shared" si="1"/>
        <v>-6.1333333333333351E-2</v>
      </c>
    </row>
    <row r="42" spans="1:8">
      <c r="A42" s="1">
        <v>44409</v>
      </c>
      <c r="B42" s="2">
        <v>413.57</v>
      </c>
      <c r="C42" s="2">
        <v>431.36</v>
      </c>
      <c r="D42" s="2">
        <v>404.3</v>
      </c>
      <c r="E42" s="2">
        <v>416.27</v>
      </c>
      <c r="F42" s="2">
        <v>397.5</v>
      </c>
      <c r="G42" s="3">
        <v>47566300</v>
      </c>
      <c r="H42" s="4">
        <f t="shared" si="1"/>
        <v>9.8315677158753445E-3</v>
      </c>
    </row>
    <row r="43" spans="1:8">
      <c r="A43" s="1">
        <v>44378</v>
      </c>
      <c r="B43" s="2">
        <v>402.03</v>
      </c>
      <c r="C43" s="2">
        <v>422.53</v>
      </c>
      <c r="D43" s="2">
        <v>401.81</v>
      </c>
      <c r="E43" s="2">
        <v>412.22</v>
      </c>
      <c r="F43" s="2">
        <v>393.63</v>
      </c>
      <c r="G43" s="3">
        <v>51586100</v>
      </c>
      <c r="H43" s="4">
        <f>F43/F44-1</f>
        <v>3.3176723798524765E-2</v>
      </c>
    </row>
    <row r="44" spans="1:8">
      <c r="A44" s="1">
        <v>44348</v>
      </c>
      <c r="B44" s="2">
        <v>413.73</v>
      </c>
      <c r="C44" s="2">
        <v>413.73</v>
      </c>
      <c r="D44" s="2">
        <v>387.25</v>
      </c>
      <c r="E44" s="2">
        <v>400.44</v>
      </c>
      <c r="F44" s="2">
        <v>380.99</v>
      </c>
      <c r="G44" s="3">
        <v>82579900</v>
      </c>
      <c r="H44" s="4">
        <f t="shared" si="1"/>
        <v>-2.7863540098492012E-2</v>
      </c>
    </row>
    <row r="45" spans="1:8">
      <c r="A45" s="1">
        <v>44317</v>
      </c>
      <c r="B45" s="2">
        <v>401</v>
      </c>
      <c r="C45" s="2">
        <v>425.98</v>
      </c>
      <c r="D45" s="2">
        <v>400.53</v>
      </c>
      <c r="E45" s="2">
        <v>411.92</v>
      </c>
      <c r="F45" s="2">
        <v>391.91</v>
      </c>
      <c r="G45" s="3">
        <v>50540600</v>
      </c>
      <c r="H45" s="4">
        <f t="shared" si="1"/>
        <v>3.289144242679809E-2</v>
      </c>
    </row>
    <row r="46" spans="1:8">
      <c r="A46" s="1">
        <v>44287</v>
      </c>
      <c r="B46" s="2">
        <v>372.2</v>
      </c>
      <c r="C46" s="2">
        <v>402.16</v>
      </c>
      <c r="D46" s="2">
        <v>360.55</v>
      </c>
      <c r="E46" s="2">
        <v>398.8</v>
      </c>
      <c r="F46" s="2">
        <v>379.43</v>
      </c>
      <c r="G46" s="3">
        <v>56370900</v>
      </c>
      <c r="H46" s="4">
        <f t="shared" si="1"/>
        <v>7.5664795600158818E-2</v>
      </c>
    </row>
    <row r="47" spans="1:8">
      <c r="A47" s="1">
        <v>44256</v>
      </c>
      <c r="B47" s="2">
        <v>334.36</v>
      </c>
      <c r="C47" s="2">
        <v>380.5</v>
      </c>
      <c r="D47" s="2">
        <v>332.67</v>
      </c>
      <c r="E47" s="2">
        <v>372.07</v>
      </c>
      <c r="F47" s="2">
        <v>352.74</v>
      </c>
      <c r="G47" s="3">
        <v>79603700</v>
      </c>
      <c r="H47" s="4">
        <f t="shared" si="1"/>
        <v>0.11995173990347996</v>
      </c>
    </row>
    <row r="48" spans="1:8">
      <c r="A48" s="1">
        <v>44228</v>
      </c>
      <c r="B48" s="2">
        <v>335.03</v>
      </c>
      <c r="C48" s="2">
        <v>344.64</v>
      </c>
      <c r="D48" s="2">
        <v>320.35000000000002</v>
      </c>
      <c r="E48" s="2">
        <v>332.22</v>
      </c>
      <c r="F48" s="2">
        <v>314.95999999999998</v>
      </c>
      <c r="G48" s="3">
        <v>69067300</v>
      </c>
      <c r="H48" s="4">
        <f t="shared" si="1"/>
        <v>-4.079051383399257E-3</v>
      </c>
    </row>
    <row r="49" spans="1:8">
      <c r="A49" s="1">
        <v>44197</v>
      </c>
      <c r="B49" s="2">
        <v>351.45</v>
      </c>
      <c r="C49" s="2">
        <v>367.49</v>
      </c>
      <c r="D49" s="2">
        <v>329.01</v>
      </c>
      <c r="E49" s="2">
        <v>333.58</v>
      </c>
      <c r="F49" s="2">
        <v>316.25</v>
      </c>
      <c r="G49" s="3">
        <v>63126000</v>
      </c>
      <c r="H49" s="4">
        <f t="shared" si="1"/>
        <v>-4.5340658677211931E-2</v>
      </c>
    </row>
    <row r="50" spans="1:8">
      <c r="A50" s="1">
        <v>44166</v>
      </c>
      <c r="B50" s="2">
        <v>344.77</v>
      </c>
      <c r="C50" s="2">
        <v>354.1</v>
      </c>
      <c r="D50" s="2">
        <v>329.4</v>
      </c>
      <c r="E50" s="2">
        <v>350.68</v>
      </c>
      <c r="F50" s="2">
        <v>331.27</v>
      </c>
      <c r="G50" s="3">
        <v>63965400</v>
      </c>
      <c r="H50" s="4">
        <f t="shared" si="1"/>
        <v>4.2614798728479952E-2</v>
      </c>
    </row>
    <row r="51" spans="1:8">
      <c r="A51" s="1">
        <v>44136</v>
      </c>
      <c r="B51" s="2">
        <v>312.64</v>
      </c>
      <c r="C51" s="2">
        <v>367.95</v>
      </c>
      <c r="D51" s="2">
        <v>307.36</v>
      </c>
      <c r="E51" s="2">
        <v>336.34</v>
      </c>
      <c r="F51" s="2">
        <v>317.73</v>
      </c>
      <c r="G51" s="3">
        <v>74427900</v>
      </c>
      <c r="H51" s="4">
        <f t="shared" si="1"/>
        <v>0.10227233304423256</v>
      </c>
    </row>
    <row r="52" spans="1:8">
      <c r="A52" s="1">
        <v>44105</v>
      </c>
      <c r="B52" s="2">
        <v>312.91000000000003</v>
      </c>
      <c r="C52" s="2">
        <v>335.65</v>
      </c>
      <c r="D52" s="2">
        <v>299.60000000000002</v>
      </c>
      <c r="E52" s="2">
        <v>305.14</v>
      </c>
      <c r="F52" s="2">
        <v>288.25</v>
      </c>
      <c r="G52" s="3">
        <v>57916400</v>
      </c>
      <c r="H52" s="4">
        <f t="shared" si="1"/>
        <v>-1.7251372268248577E-2</v>
      </c>
    </row>
    <row r="53" spans="1:8">
      <c r="A53" s="1">
        <v>44075</v>
      </c>
      <c r="B53" s="2">
        <v>310.16000000000003</v>
      </c>
      <c r="C53" s="2">
        <v>323.82</v>
      </c>
      <c r="D53" s="2">
        <v>289.64</v>
      </c>
      <c r="E53" s="2">
        <v>311.77</v>
      </c>
      <c r="F53" s="2">
        <v>293.31</v>
      </c>
      <c r="G53" s="3">
        <v>59489700</v>
      </c>
      <c r="H53" s="4">
        <f t="shared" si="1"/>
        <v>-2.4826554210312102E-3</v>
      </c>
    </row>
    <row r="54" spans="1:8">
      <c r="A54" s="1">
        <v>44044</v>
      </c>
      <c r="B54" s="2">
        <v>303.58999999999997</v>
      </c>
      <c r="C54" s="2">
        <v>324.57</v>
      </c>
      <c r="D54" s="2">
        <v>299.2</v>
      </c>
      <c r="E54" s="2">
        <v>312.55</v>
      </c>
      <c r="F54" s="2">
        <v>294.04000000000002</v>
      </c>
      <c r="G54" s="3">
        <v>57175800</v>
      </c>
      <c r="H54" s="4">
        <f t="shared" si="1"/>
        <v>3.2262594347902462E-2</v>
      </c>
    </row>
    <row r="55" spans="1:8">
      <c r="A55" s="1">
        <v>44013</v>
      </c>
      <c r="B55" s="2">
        <v>295.83</v>
      </c>
      <c r="C55" s="2">
        <v>310.97000000000003</v>
      </c>
      <c r="D55" s="2">
        <v>287.10000000000002</v>
      </c>
      <c r="E55" s="2">
        <v>302.77999999999997</v>
      </c>
      <c r="F55" s="2">
        <v>284.85000000000002</v>
      </c>
      <c r="G55" s="3">
        <v>61207300</v>
      </c>
      <c r="H55" s="4">
        <f t="shared" si="1"/>
        <v>3.0981939266712555E-2</v>
      </c>
    </row>
    <row r="56" spans="1:8">
      <c r="A56" s="1">
        <v>43983</v>
      </c>
      <c r="B56" s="2">
        <v>304.02</v>
      </c>
      <c r="C56" s="2">
        <v>315.83999999999997</v>
      </c>
      <c r="D56" s="2">
        <v>273.70999999999998</v>
      </c>
      <c r="E56" s="2">
        <v>294.95</v>
      </c>
      <c r="F56" s="2">
        <v>276.29000000000002</v>
      </c>
      <c r="G56" s="3">
        <v>85408300</v>
      </c>
      <c r="H56" s="4">
        <f t="shared" si="1"/>
        <v>-3.2496410687397059E-2</v>
      </c>
    </row>
    <row r="57" spans="1:8">
      <c r="A57" s="1">
        <v>43952</v>
      </c>
      <c r="B57" s="2">
        <v>288.39</v>
      </c>
      <c r="C57" s="2">
        <v>309.66000000000003</v>
      </c>
      <c r="D57" s="2">
        <v>275.56</v>
      </c>
      <c r="E57" s="2">
        <v>304.85000000000002</v>
      </c>
      <c r="F57" s="2">
        <v>285.57</v>
      </c>
      <c r="G57" s="3">
        <v>86558300</v>
      </c>
      <c r="H57" s="4">
        <f t="shared" si="1"/>
        <v>4.2340402233821184E-2</v>
      </c>
    </row>
    <row r="58" spans="1:8">
      <c r="A58" s="1">
        <v>43922</v>
      </c>
      <c r="B58" s="2">
        <v>238.69</v>
      </c>
      <c r="C58" s="2">
        <v>304</v>
      </c>
      <c r="D58" s="2">
        <v>226.03</v>
      </c>
      <c r="E58" s="2">
        <v>292.47000000000003</v>
      </c>
      <c r="F58" s="2">
        <v>273.97000000000003</v>
      </c>
      <c r="G58" s="3">
        <v>104539500</v>
      </c>
      <c r="H58" s="4">
        <f t="shared" si="1"/>
        <v>0.17785898538263134</v>
      </c>
    </row>
    <row r="59" spans="1:8">
      <c r="A59" s="1">
        <v>43891</v>
      </c>
      <c r="B59" s="2">
        <v>257.33999999999997</v>
      </c>
      <c r="C59" s="2">
        <v>295.83999999999997</v>
      </c>
      <c r="D59" s="2">
        <v>187.72</v>
      </c>
      <c r="E59" s="2">
        <v>249.38</v>
      </c>
      <c r="F59" s="2">
        <v>232.6</v>
      </c>
      <c r="G59" s="3">
        <v>189875500</v>
      </c>
      <c r="H59" s="4">
        <f t="shared" si="1"/>
        <v>-2.1867115222876432E-2</v>
      </c>
    </row>
    <row r="60" spans="1:8">
      <c r="A60" s="1">
        <v>43862</v>
      </c>
      <c r="B60" s="2">
        <v>275.13</v>
      </c>
      <c r="C60" s="2">
        <v>306.70999999999998</v>
      </c>
      <c r="D60" s="2">
        <v>245.3</v>
      </c>
      <c r="E60" s="2">
        <v>254.96</v>
      </c>
      <c r="F60" s="2">
        <v>237.8</v>
      </c>
      <c r="G60" s="3">
        <v>94529600</v>
      </c>
      <c r="H60" s="4">
        <f t="shared" si="1"/>
        <v>-6.4221627577522367E-2</v>
      </c>
    </row>
    <row r="61" spans="1:8">
      <c r="A61" s="1">
        <v>43831</v>
      </c>
      <c r="B61" s="2">
        <v>293.98</v>
      </c>
      <c r="C61" s="2">
        <v>302.54000000000002</v>
      </c>
      <c r="D61" s="2">
        <v>271.18</v>
      </c>
      <c r="E61" s="2">
        <v>272.45</v>
      </c>
      <c r="F61" s="2">
        <v>254.12</v>
      </c>
      <c r="G61" s="3">
        <v>84374200</v>
      </c>
      <c r="H61" s="4">
        <f t="shared" si="1"/>
        <v>-6.9668680212337408E-2</v>
      </c>
    </row>
    <row r="62" spans="1:8">
      <c r="A62" s="1">
        <v>43800</v>
      </c>
      <c r="B62" s="2">
        <v>281.77999999999997</v>
      </c>
      <c r="C62" s="2">
        <v>300</v>
      </c>
      <c r="D62" s="2">
        <v>273.85000000000002</v>
      </c>
      <c r="E62" s="2">
        <v>293.98</v>
      </c>
      <c r="F62" s="2">
        <v>273.14999999999998</v>
      </c>
      <c r="G62" s="3">
        <v>60550900</v>
      </c>
      <c r="H62" s="4"/>
    </row>
    <row r="63" spans="1:8">
      <c r="H63" s="4"/>
    </row>
    <row r="64" spans="1:8">
      <c r="H64" s="4"/>
    </row>
    <row r="65" spans="8:8">
      <c r="H65" s="4"/>
    </row>
    <row r="66" spans="8:8">
      <c r="H66" s="4"/>
    </row>
    <row r="67" spans="8:8">
      <c r="H67" s="4"/>
    </row>
    <row r="68" spans="8:8">
      <c r="H68" s="4"/>
    </row>
    <row r="69" spans="8:8">
      <c r="H69" s="4"/>
    </row>
    <row r="70" spans="8:8">
      <c r="H70" s="4"/>
    </row>
    <row r="71" spans="8:8">
      <c r="H71" s="4"/>
    </row>
    <row r="72" spans="8:8">
      <c r="H72" s="4"/>
    </row>
    <row r="73" spans="8:8">
      <c r="H73" s="4"/>
    </row>
    <row r="74" spans="8:8">
      <c r="H74" s="4"/>
    </row>
    <row r="75" spans="8:8">
      <c r="H75" s="4"/>
    </row>
    <row r="76" spans="8:8">
      <c r="H7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9EFE-38AA-4E3B-AB74-11E7902102B1}">
  <dimension ref="A2:H62"/>
  <sheetViews>
    <sheetView workbookViewId="0">
      <selection activeCell="K21" sqref="K21"/>
    </sheetView>
  </sheetViews>
  <sheetFormatPr defaultRowHeight="14.5"/>
  <cols>
    <col min="1" max="1" width="9.1796875" bestFit="1" customWidth="1"/>
    <col min="6" max="6" width="10.26953125" bestFit="1" customWidth="1"/>
    <col min="7" max="7" width="13.453125" bestFit="1" customWidth="1"/>
  </cols>
  <sheetData>
    <row r="2" spans="1:8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3" spans="1:8">
      <c r="A3" s="7">
        <v>45597</v>
      </c>
      <c r="B3" s="8">
        <v>571.32000000000005</v>
      </c>
      <c r="C3" s="8">
        <v>576.74</v>
      </c>
      <c r="D3" s="8">
        <v>567.89</v>
      </c>
      <c r="E3" s="8">
        <v>576.70000000000005</v>
      </c>
      <c r="F3" s="8">
        <v>576.70000000000005</v>
      </c>
      <c r="G3" s="9">
        <v>122943700</v>
      </c>
      <c r="H3">
        <f>[1]spy!F1/[1]spy!F2-1</f>
        <v>1.4174169949352944E-2</v>
      </c>
    </row>
    <row r="4" spans="1:8">
      <c r="A4" s="7">
        <v>45566</v>
      </c>
      <c r="B4" s="8">
        <v>573.4</v>
      </c>
      <c r="C4" s="8">
        <v>586.12</v>
      </c>
      <c r="D4" s="8">
        <v>565.27</v>
      </c>
      <c r="E4" s="8">
        <v>568.64</v>
      </c>
      <c r="F4" s="8">
        <v>568.64</v>
      </c>
      <c r="G4" s="9">
        <v>976068800</v>
      </c>
      <c r="H4">
        <f>[1]spy!F2/[1]spy!F3-1</f>
        <v>-5.8915053932623307E-3</v>
      </c>
    </row>
    <row r="5" spans="1:8">
      <c r="A5" s="7">
        <v>45536</v>
      </c>
      <c r="B5" s="8">
        <v>558.35</v>
      </c>
      <c r="C5" s="8">
        <v>574.71</v>
      </c>
      <c r="D5" s="8">
        <v>539.44000000000005</v>
      </c>
      <c r="E5" s="8">
        <v>573.76</v>
      </c>
      <c r="F5" s="8">
        <v>572.01</v>
      </c>
      <c r="G5" s="9">
        <v>1045061400</v>
      </c>
      <c r="H5">
        <f>[1]spy!F3/[1]spy!F4-1</f>
        <v>1.7883835148408966E-2</v>
      </c>
    </row>
    <row r="6" spans="1:8">
      <c r="A6" s="7">
        <v>45505</v>
      </c>
      <c r="B6" s="8">
        <v>552.57000000000005</v>
      </c>
      <c r="C6" s="8">
        <v>564.20000000000005</v>
      </c>
      <c r="D6" s="8">
        <v>510.27</v>
      </c>
      <c r="E6" s="8">
        <v>563.67999999999995</v>
      </c>
      <c r="F6" s="8">
        <v>561.96</v>
      </c>
      <c r="G6" s="9">
        <v>1244599000</v>
      </c>
      <c r="H6">
        <f>[1]spy!F4/[1]spy!F5-1</f>
        <v>2.3364230692185961E-2</v>
      </c>
    </row>
    <row r="7" spans="1:8">
      <c r="A7" s="7">
        <v>45474</v>
      </c>
      <c r="B7" s="8">
        <v>545.63</v>
      </c>
      <c r="C7" s="8">
        <v>565.16</v>
      </c>
      <c r="D7" s="8">
        <v>537.45000000000005</v>
      </c>
      <c r="E7" s="8">
        <v>550.80999999999995</v>
      </c>
      <c r="F7" s="8">
        <v>549.13</v>
      </c>
      <c r="G7" s="9">
        <v>1038465500</v>
      </c>
      <c r="H7">
        <f>[1]spy!F5/[1]spy!F6-1</f>
        <v>1.5384330911040855E-2</v>
      </c>
    </row>
    <row r="8" spans="1:8">
      <c r="A8" s="7">
        <v>45444</v>
      </c>
      <c r="B8" s="8">
        <v>529.02</v>
      </c>
      <c r="C8" s="8">
        <v>550.28</v>
      </c>
      <c r="D8" s="8">
        <v>522.6</v>
      </c>
      <c r="E8" s="8">
        <v>544.22</v>
      </c>
      <c r="F8" s="8">
        <v>540.80999999999995</v>
      </c>
      <c r="G8" s="9">
        <v>888923200</v>
      </c>
      <c r="H8">
        <f>[1]spy!F6/[1]spy!F7-1</f>
        <v>3.1942297784646856E-2</v>
      </c>
    </row>
    <row r="9" spans="1:8">
      <c r="A9" s="7">
        <v>45413</v>
      </c>
      <c r="B9" s="8">
        <v>501.38</v>
      </c>
      <c r="C9" s="8">
        <v>533.07000000000005</v>
      </c>
      <c r="D9" s="8">
        <v>499.55</v>
      </c>
      <c r="E9" s="8">
        <v>527.37</v>
      </c>
      <c r="F9" s="8">
        <v>524.07000000000005</v>
      </c>
      <c r="G9" s="9">
        <v>1153264400</v>
      </c>
      <c r="H9">
        <f>[1]spy!F7/[1]spy!F8-1</f>
        <v>5.0577339427471779E-2</v>
      </c>
    </row>
    <row r="10" spans="1:8">
      <c r="A10" s="7">
        <v>45383</v>
      </c>
      <c r="B10" s="8">
        <v>523.83000000000004</v>
      </c>
      <c r="C10" s="8">
        <v>524.38</v>
      </c>
      <c r="D10" s="8">
        <v>493.86</v>
      </c>
      <c r="E10" s="8">
        <v>501.98</v>
      </c>
      <c r="F10" s="8">
        <v>498.84</v>
      </c>
      <c r="G10" s="9">
        <v>1592974000</v>
      </c>
      <c r="H10">
        <f>[1]spy!F8/[1]spy!F9-1</f>
        <v>-3.7322937975220905E-2</v>
      </c>
    </row>
    <row r="11" spans="1:8">
      <c r="A11" s="7">
        <v>45352</v>
      </c>
      <c r="B11" s="8">
        <v>508.98</v>
      </c>
      <c r="C11" s="8">
        <v>524.61</v>
      </c>
      <c r="D11" s="8">
        <v>504.91</v>
      </c>
      <c r="E11" s="8">
        <v>523.07000000000005</v>
      </c>
      <c r="F11" s="8">
        <v>518.17999999999995</v>
      </c>
      <c r="G11" s="9">
        <v>1473246900</v>
      </c>
      <c r="H11">
        <f>[1]spy!F9/[1]spy!F10-1</f>
        <v>2.9503506645739419E-2</v>
      </c>
    </row>
    <row r="12" spans="1:8">
      <c r="A12" s="7">
        <v>45323</v>
      </c>
      <c r="B12" s="8">
        <v>484.63</v>
      </c>
      <c r="C12" s="8">
        <v>510.13</v>
      </c>
      <c r="D12" s="8">
        <v>483.8</v>
      </c>
      <c r="E12" s="8">
        <v>508.08</v>
      </c>
      <c r="F12" s="8">
        <v>503.33</v>
      </c>
      <c r="G12" s="9">
        <v>1393465400</v>
      </c>
      <c r="H12">
        <f>[1]spy!F10/[1]spy!F11-1</f>
        <v>5.2177185024144368E-2</v>
      </c>
    </row>
    <row r="13" spans="1:8">
      <c r="A13" s="7">
        <v>45292</v>
      </c>
      <c r="B13" s="8">
        <v>472.16</v>
      </c>
      <c r="C13" s="8">
        <v>491.62</v>
      </c>
      <c r="D13" s="8">
        <v>466.43</v>
      </c>
      <c r="E13" s="8">
        <v>482.88</v>
      </c>
      <c r="F13" s="8">
        <v>478.37</v>
      </c>
      <c r="G13" s="9">
        <v>1700630800</v>
      </c>
      <c r="H13">
        <f>[1]spy!F11/[1]spy!F12-1</f>
        <v>2.0043926050706817E-2</v>
      </c>
    </row>
    <row r="14" spans="1:8">
      <c r="A14" s="7">
        <v>45261</v>
      </c>
      <c r="B14" s="8">
        <v>455.77</v>
      </c>
      <c r="C14" s="8">
        <v>477.55</v>
      </c>
      <c r="D14" s="8">
        <v>454.31</v>
      </c>
      <c r="E14" s="8">
        <v>475.31</v>
      </c>
      <c r="F14" s="8">
        <v>468.97</v>
      </c>
      <c r="G14" s="9">
        <v>1643108100</v>
      </c>
      <c r="H14">
        <f>[1]spy!F12/[1]spy!F13-1</f>
        <v>4.1438120405942636E-2</v>
      </c>
    </row>
    <row r="15" spans="1:8">
      <c r="A15" s="7">
        <v>45231</v>
      </c>
      <c r="B15" s="8">
        <v>419.2</v>
      </c>
      <c r="C15" s="8">
        <v>458.32</v>
      </c>
      <c r="D15" s="8">
        <v>418.65</v>
      </c>
      <c r="E15" s="8">
        <v>456.4</v>
      </c>
      <c r="F15" s="8">
        <v>450.31</v>
      </c>
      <c r="G15" s="9">
        <v>1499960600</v>
      </c>
      <c r="H15">
        <f>[1]spy!F13/[1]spy!F14-1</f>
        <v>9.1343124424409838E-2</v>
      </c>
    </row>
    <row r="16" spans="1:8">
      <c r="A16" s="7">
        <v>45200</v>
      </c>
      <c r="B16" s="8">
        <v>426.62</v>
      </c>
      <c r="C16" s="8">
        <v>438.14</v>
      </c>
      <c r="D16" s="8">
        <v>409.21</v>
      </c>
      <c r="E16" s="8">
        <v>418.2</v>
      </c>
      <c r="F16" s="8">
        <v>412.62</v>
      </c>
      <c r="G16" s="9">
        <v>1999149700</v>
      </c>
      <c r="H16">
        <f>[1]spy!F14/[1]spy!F15-1</f>
        <v>-1.8249304051964121E-2</v>
      </c>
    </row>
    <row r="17" spans="1:8">
      <c r="A17" s="7">
        <v>45170</v>
      </c>
      <c r="B17" s="8">
        <v>453.17</v>
      </c>
      <c r="C17" s="8">
        <v>453.67</v>
      </c>
      <c r="D17" s="8">
        <v>422.29</v>
      </c>
      <c r="E17" s="8">
        <v>427.48</v>
      </c>
      <c r="F17" s="8">
        <v>420.29</v>
      </c>
      <c r="G17" s="9">
        <v>1588673200</v>
      </c>
      <c r="H17">
        <f>[1]spy!F15/[1]spy!F16-1</f>
        <v>-5.0792718731649922E-2</v>
      </c>
    </row>
    <row r="18" spans="1:8">
      <c r="A18" s="7">
        <v>45139</v>
      </c>
      <c r="B18" s="8">
        <v>456.27</v>
      </c>
      <c r="C18" s="8">
        <v>457.25</v>
      </c>
      <c r="D18" s="8">
        <v>433.01</v>
      </c>
      <c r="E18" s="8">
        <v>450.35</v>
      </c>
      <c r="F18" s="8">
        <v>442.78</v>
      </c>
      <c r="G18" s="9">
        <v>1754764700</v>
      </c>
      <c r="H18">
        <f>[1]spy!F16/[1]spy!F17-1</f>
        <v>-1.6241196205203368E-2</v>
      </c>
    </row>
    <row r="19" spans="1:8">
      <c r="A19" s="7">
        <v>45108</v>
      </c>
      <c r="B19" s="8">
        <v>442.92</v>
      </c>
      <c r="C19" s="8">
        <v>459.44</v>
      </c>
      <c r="D19" s="8">
        <v>437.06</v>
      </c>
      <c r="E19" s="8">
        <v>457.79</v>
      </c>
      <c r="F19" s="8">
        <v>450.09</v>
      </c>
      <c r="G19" s="9">
        <v>1374632400</v>
      </c>
      <c r="H19">
        <f>[1]spy!F17/[1]spy!F18-1</f>
        <v>3.6548293491778239E-2</v>
      </c>
    </row>
    <row r="20" spans="1:8">
      <c r="A20" s="7">
        <v>45078</v>
      </c>
      <c r="B20" s="8">
        <v>418.09</v>
      </c>
      <c r="C20" s="8">
        <v>444.3</v>
      </c>
      <c r="D20" s="8">
        <v>416.79</v>
      </c>
      <c r="E20" s="8">
        <v>443.28</v>
      </c>
      <c r="F20" s="8">
        <v>434.22</v>
      </c>
      <c r="G20" s="9">
        <v>1749755000</v>
      </c>
      <c r="H20">
        <f>[1]spy!F18/[1]spy!F19-1</f>
        <v>6.0858517993696681E-2</v>
      </c>
    </row>
    <row r="21" spans="1:8">
      <c r="A21" s="7">
        <v>45047</v>
      </c>
      <c r="B21" s="8">
        <v>415.47</v>
      </c>
      <c r="C21" s="8">
        <v>422.58</v>
      </c>
      <c r="D21" s="8">
        <v>403.74</v>
      </c>
      <c r="E21" s="8">
        <v>417.85</v>
      </c>
      <c r="F21" s="8">
        <v>409.31</v>
      </c>
      <c r="G21" s="9">
        <v>1780705600</v>
      </c>
      <c r="H21">
        <f>[1]spy!F19/[1]spy!F20-1</f>
        <v>4.6389475234400734E-3</v>
      </c>
    </row>
    <row r="22" spans="1:8">
      <c r="A22" s="7">
        <v>45017</v>
      </c>
      <c r="B22" s="8">
        <v>408.85</v>
      </c>
      <c r="C22" s="8">
        <v>415.94</v>
      </c>
      <c r="D22" s="8">
        <v>403.78</v>
      </c>
      <c r="E22" s="8">
        <v>415.93</v>
      </c>
      <c r="F22" s="8">
        <v>407.42</v>
      </c>
      <c r="G22" s="9">
        <v>1395683000</v>
      </c>
      <c r="H22">
        <f>[1]spy!F20/[1]spy!F21-1</f>
        <v>1.9850309144158862E-2</v>
      </c>
    </row>
    <row r="23" spans="1:8">
      <c r="A23" s="7">
        <v>44986</v>
      </c>
      <c r="B23" s="8">
        <v>395.41</v>
      </c>
      <c r="C23" s="8">
        <v>409.7</v>
      </c>
      <c r="D23" s="8">
        <v>380.65</v>
      </c>
      <c r="E23" s="8">
        <v>409.39</v>
      </c>
      <c r="F23" s="8">
        <v>399.49</v>
      </c>
      <c r="G23" s="9">
        <v>2515995800</v>
      </c>
      <c r="H23">
        <f>[1]spy!F21/[1]spy!F22-1</f>
        <v>3.3128167994207036E-2</v>
      </c>
    </row>
    <row r="24" spans="1:8">
      <c r="A24" s="7">
        <v>44958</v>
      </c>
      <c r="B24" s="8">
        <v>405.21</v>
      </c>
      <c r="C24" s="8">
        <v>418.31</v>
      </c>
      <c r="D24" s="8">
        <v>393.64</v>
      </c>
      <c r="E24" s="8">
        <v>396.26</v>
      </c>
      <c r="F24" s="8">
        <v>386.68</v>
      </c>
      <c r="G24" s="9">
        <v>1603094700</v>
      </c>
      <c r="H24">
        <f>[1]spy!F22/[1]spy!F23-1</f>
        <v>-2.513550989537372E-2</v>
      </c>
    </row>
    <row r="25" spans="1:8">
      <c r="A25" s="7">
        <v>44927</v>
      </c>
      <c r="B25" s="8">
        <v>384.37</v>
      </c>
      <c r="C25" s="8">
        <v>408.16</v>
      </c>
      <c r="D25" s="8">
        <v>377.83</v>
      </c>
      <c r="E25" s="8">
        <v>406.48</v>
      </c>
      <c r="F25" s="8">
        <v>396.65</v>
      </c>
      <c r="G25" s="9">
        <v>1575450100</v>
      </c>
      <c r="H25">
        <f>[1]spy!F23/[1]spy!F24-1</f>
        <v>6.7756003014967092E-2</v>
      </c>
    </row>
    <row r="26" spans="1:8">
      <c r="A26" s="7">
        <v>44896</v>
      </c>
      <c r="B26" s="8">
        <v>408.77</v>
      </c>
      <c r="C26" s="8">
        <v>410.49</v>
      </c>
      <c r="D26" s="8">
        <v>374.77</v>
      </c>
      <c r="E26" s="8">
        <v>382.43</v>
      </c>
      <c r="F26" s="8">
        <v>371.48</v>
      </c>
      <c r="G26" s="9">
        <v>1735973600</v>
      </c>
      <c r="H26">
        <f>[1]spy!F24/[1]spy!F25-1</f>
        <v>-6.1942880230297148E-2</v>
      </c>
    </row>
    <row r="27" spans="1:8">
      <c r="A27" s="7">
        <v>44866</v>
      </c>
      <c r="B27" s="8">
        <v>390.14</v>
      </c>
      <c r="C27" s="8">
        <v>407.68</v>
      </c>
      <c r="D27" s="8">
        <v>368.79</v>
      </c>
      <c r="E27" s="8">
        <v>407.68</v>
      </c>
      <c r="F27" s="8">
        <v>396.01</v>
      </c>
      <c r="G27" s="9">
        <v>1745985300</v>
      </c>
      <c r="H27">
        <f>[1]spy!F25/[1]spy!F26-1</f>
        <v>5.5604424896708027E-2</v>
      </c>
    </row>
    <row r="28" spans="1:8">
      <c r="A28" s="7">
        <v>44835</v>
      </c>
      <c r="B28" s="8">
        <v>361.08</v>
      </c>
      <c r="C28" s="8">
        <v>389.52</v>
      </c>
      <c r="D28" s="8">
        <v>348.11</v>
      </c>
      <c r="E28" s="8">
        <v>386.21</v>
      </c>
      <c r="F28" s="8">
        <v>375.15</v>
      </c>
      <c r="G28" s="9">
        <v>2024732000</v>
      </c>
      <c r="H28">
        <f>[1]spy!F26/[1]spy!F27-1</f>
        <v>8.5723381471941584E-2</v>
      </c>
    </row>
    <row r="29" spans="1:8">
      <c r="A29" s="7">
        <v>44805</v>
      </c>
      <c r="B29" s="8">
        <v>392.89</v>
      </c>
      <c r="C29" s="8">
        <v>411.73</v>
      </c>
      <c r="D29" s="8">
        <v>357.04</v>
      </c>
      <c r="E29" s="8">
        <v>357.18</v>
      </c>
      <c r="F29" s="8">
        <v>345.53</v>
      </c>
      <c r="G29" s="9">
        <v>1998908600</v>
      </c>
      <c r="H29">
        <f>[1]spy!F27/[1]spy!F28-1</f>
        <v>-9.6157367443563957E-2</v>
      </c>
    </row>
    <row r="30" spans="1:8">
      <c r="A30" s="7">
        <v>44774</v>
      </c>
      <c r="B30" s="8">
        <v>409.15</v>
      </c>
      <c r="C30" s="8">
        <v>431.73</v>
      </c>
      <c r="D30" s="8">
        <v>395.04</v>
      </c>
      <c r="E30" s="8">
        <v>395.18</v>
      </c>
      <c r="F30" s="8">
        <v>382.29</v>
      </c>
      <c r="G30" s="9">
        <v>1443394400</v>
      </c>
      <c r="H30">
        <f>[1]spy!F28/[1]spy!F29-1</f>
        <v>-4.082195905258923E-2</v>
      </c>
    </row>
    <row r="31" spans="1:8">
      <c r="A31" s="7">
        <v>44743</v>
      </c>
      <c r="B31" s="8">
        <v>376.56</v>
      </c>
      <c r="C31" s="8">
        <v>413.03</v>
      </c>
      <c r="D31" s="8">
        <v>371.04</v>
      </c>
      <c r="E31" s="8">
        <v>411.99</v>
      </c>
      <c r="F31" s="8">
        <v>398.56</v>
      </c>
      <c r="G31" s="9">
        <v>1437748400</v>
      </c>
      <c r="H31">
        <f>[1]spy!F29/[1]spy!F30-1</f>
        <v>9.6813253343607242E-2</v>
      </c>
    </row>
    <row r="32" spans="1:8">
      <c r="A32" s="7">
        <v>44713</v>
      </c>
      <c r="B32" s="8">
        <v>415.17</v>
      </c>
      <c r="C32" s="8">
        <v>417.44</v>
      </c>
      <c r="D32" s="8">
        <v>362.17</v>
      </c>
      <c r="E32" s="8">
        <v>377.25</v>
      </c>
      <c r="F32" s="8">
        <v>363.38</v>
      </c>
      <c r="G32" s="9">
        <v>1958611900</v>
      </c>
      <c r="H32">
        <f>[1]spy!F30/[1]spy!F31-1</f>
        <v>-8.6411062225015711E-2</v>
      </c>
    </row>
    <row r="33" spans="1:8">
      <c r="A33" s="7">
        <v>44682</v>
      </c>
      <c r="B33" s="8">
        <v>412.07</v>
      </c>
      <c r="C33" s="8">
        <v>429.66</v>
      </c>
      <c r="D33" s="8">
        <v>380.54</v>
      </c>
      <c r="E33" s="8">
        <v>412.93</v>
      </c>
      <c r="F33" s="8">
        <v>397.75</v>
      </c>
      <c r="G33" s="9">
        <v>2418478100</v>
      </c>
      <c r="H33">
        <f>[1]spy!F31/[1]spy!F32-1</f>
        <v>2.2678593927176749E-3</v>
      </c>
    </row>
    <row r="34" spans="1:8">
      <c r="A34" s="7">
        <v>44652</v>
      </c>
      <c r="B34" s="8">
        <v>453.31</v>
      </c>
      <c r="C34" s="8">
        <v>457.83</v>
      </c>
      <c r="D34" s="8">
        <v>411.21</v>
      </c>
      <c r="E34" s="8">
        <v>412</v>
      </c>
      <c r="F34" s="8">
        <v>396.85</v>
      </c>
      <c r="G34" s="9">
        <v>1856757400</v>
      </c>
      <c r="H34">
        <f>[1]spy!F32/[1]spy!F33-1</f>
        <v>-8.4945467960985899E-2</v>
      </c>
    </row>
    <row r="35" spans="1:8">
      <c r="A35" s="7">
        <v>44621</v>
      </c>
      <c r="B35" s="8">
        <v>435.04</v>
      </c>
      <c r="C35" s="8">
        <v>462.07</v>
      </c>
      <c r="D35" s="8">
        <v>415.12</v>
      </c>
      <c r="E35" s="8">
        <v>451.64</v>
      </c>
      <c r="F35" s="8">
        <v>433.69</v>
      </c>
      <c r="G35" s="9">
        <v>2380929500</v>
      </c>
      <c r="H35">
        <f>[1]spy!F33/[1]spy!F34-1</f>
        <v>3.4393111837240919E-2</v>
      </c>
    </row>
    <row r="36" spans="1:8">
      <c r="A36" s="7">
        <v>44593</v>
      </c>
      <c r="B36" s="8">
        <v>450.68</v>
      </c>
      <c r="C36" s="8">
        <v>458.12</v>
      </c>
      <c r="D36" s="8">
        <v>410.64</v>
      </c>
      <c r="E36" s="8">
        <v>436.63</v>
      </c>
      <c r="F36" s="8">
        <v>419.27</v>
      </c>
      <c r="G36" s="9">
        <v>2297975100</v>
      </c>
      <c r="H36">
        <f>[1]spy!F34/[1]spy!F35-1</f>
        <v>-2.9534985996342855E-2</v>
      </c>
    </row>
    <row r="37" spans="1:8">
      <c r="A37" s="7">
        <v>44562</v>
      </c>
      <c r="B37" s="8">
        <v>476.3</v>
      </c>
      <c r="C37" s="8">
        <v>479.98</v>
      </c>
      <c r="D37" s="8">
        <v>420.76</v>
      </c>
      <c r="E37" s="8">
        <v>449.91</v>
      </c>
      <c r="F37" s="8">
        <v>432.03</v>
      </c>
      <c r="G37" s="9">
        <v>2485167800</v>
      </c>
      <c r="H37">
        <f>[1]spy!F35/[1]spy!F36-1</f>
        <v>-4.9397113184298624E-2</v>
      </c>
    </row>
    <row r="38" spans="1:8">
      <c r="A38" s="7">
        <v>44531</v>
      </c>
      <c r="B38" s="8">
        <v>461.64</v>
      </c>
      <c r="C38" s="8">
        <v>479</v>
      </c>
      <c r="D38" s="8">
        <v>448.92</v>
      </c>
      <c r="E38" s="8">
        <v>474.96</v>
      </c>
      <c r="F38" s="8">
        <v>454.48</v>
      </c>
      <c r="G38" s="9">
        <v>1927433900</v>
      </c>
      <c r="H38">
        <f>[1]spy!F36/[1]spy!F37-1</f>
        <v>4.2576619563222673E-2</v>
      </c>
    </row>
    <row r="39" spans="1:8">
      <c r="A39" s="7">
        <v>44501</v>
      </c>
      <c r="B39" s="8">
        <v>460.3</v>
      </c>
      <c r="C39" s="8">
        <v>473.54</v>
      </c>
      <c r="D39" s="8">
        <v>455.3</v>
      </c>
      <c r="E39" s="8">
        <v>455.56</v>
      </c>
      <c r="F39" s="8">
        <v>435.92</v>
      </c>
      <c r="G39" s="9">
        <v>1335351500</v>
      </c>
      <c r="H39">
        <f>[1]spy!F37/[1]spy!F38-1</f>
        <v>-8.0327682330184613E-3</v>
      </c>
    </row>
    <row r="40" spans="1:8">
      <c r="A40" s="7">
        <v>44470</v>
      </c>
      <c r="B40" s="8">
        <v>430.98</v>
      </c>
      <c r="C40" s="8">
        <v>459.56</v>
      </c>
      <c r="D40" s="8">
        <v>426.36</v>
      </c>
      <c r="E40" s="8">
        <v>459.25</v>
      </c>
      <c r="F40" s="8">
        <v>439.45</v>
      </c>
      <c r="G40" s="9">
        <v>1508665200</v>
      </c>
      <c r="H40">
        <f>[1]spy!F38/[1]spy!F39-1</f>
        <v>7.3583661104732245E-2</v>
      </c>
    </row>
    <row r="41" spans="1:8">
      <c r="A41" s="7">
        <v>44440</v>
      </c>
      <c r="B41" s="8">
        <v>452.56</v>
      </c>
      <c r="C41" s="8">
        <v>454.05</v>
      </c>
      <c r="D41" s="8">
        <v>428.78</v>
      </c>
      <c r="E41" s="8">
        <v>429.14</v>
      </c>
      <c r="F41" s="8">
        <v>409.33</v>
      </c>
      <c r="G41" s="9">
        <v>1745559600</v>
      </c>
      <c r="H41">
        <f>[1]spy!F39/[1]spy!F40-1</f>
        <v>-4.9638968215272472E-2</v>
      </c>
    </row>
    <row r="42" spans="1:8">
      <c r="A42" s="7">
        <v>44409</v>
      </c>
      <c r="B42" s="8">
        <v>440.34</v>
      </c>
      <c r="C42" s="8">
        <v>453.07</v>
      </c>
      <c r="D42" s="8">
        <v>436.1</v>
      </c>
      <c r="E42" s="8">
        <v>451.56</v>
      </c>
      <c r="F42" s="8">
        <v>430.71</v>
      </c>
      <c r="G42" s="9">
        <v>1254001400</v>
      </c>
      <c r="H42">
        <f>[1]spy!F40/[1]spy!F41-1</f>
        <v>2.9766174150050118E-2</v>
      </c>
    </row>
    <row r="43" spans="1:8">
      <c r="A43" s="7">
        <v>44378</v>
      </c>
      <c r="B43" s="8">
        <v>428.87</v>
      </c>
      <c r="C43" s="8">
        <v>441.8</v>
      </c>
      <c r="D43" s="8">
        <v>421.97</v>
      </c>
      <c r="E43" s="8">
        <v>438.51</v>
      </c>
      <c r="F43" s="8">
        <v>418.26</v>
      </c>
      <c r="G43" s="9">
        <v>1422104700</v>
      </c>
      <c r="H43">
        <f>[1]spy!F41/[1]spy!F42-1</f>
        <v>2.7741602575128255E-2</v>
      </c>
    </row>
    <row r="44" spans="1:8">
      <c r="A44" s="7">
        <v>44348</v>
      </c>
      <c r="B44" s="8">
        <v>422.57</v>
      </c>
      <c r="C44" s="8">
        <v>428.78</v>
      </c>
      <c r="D44" s="8">
        <v>414.7</v>
      </c>
      <c r="E44" s="8">
        <v>428.06</v>
      </c>
      <c r="F44" s="8">
        <v>406.97</v>
      </c>
      <c r="G44" s="9">
        <v>1282152400</v>
      </c>
      <c r="H44">
        <f>[1]spy!F42/[1]spy!F43-1</f>
        <v>1.910652576751648E-2</v>
      </c>
    </row>
    <row r="45" spans="1:8">
      <c r="A45" s="7">
        <v>44317</v>
      </c>
      <c r="B45" s="8">
        <v>419.43</v>
      </c>
      <c r="C45" s="8">
        <v>422.82</v>
      </c>
      <c r="D45" s="8">
        <v>404</v>
      </c>
      <c r="E45" s="8">
        <v>420.04</v>
      </c>
      <c r="F45" s="8">
        <v>399.34</v>
      </c>
      <c r="G45" s="9">
        <v>1547235900</v>
      </c>
      <c r="H45">
        <f>[1]spy!F43/[1]spy!F44-1</f>
        <v>6.5534102938951122E-3</v>
      </c>
    </row>
    <row r="46" spans="1:8">
      <c r="A46" s="7">
        <v>44287</v>
      </c>
      <c r="B46" s="8">
        <v>398.4</v>
      </c>
      <c r="C46" s="8">
        <v>420.72</v>
      </c>
      <c r="D46" s="8">
        <v>398.18</v>
      </c>
      <c r="E46" s="8">
        <v>417.3</v>
      </c>
      <c r="F46" s="8">
        <v>396.74</v>
      </c>
      <c r="G46" s="9">
        <v>1462106600</v>
      </c>
      <c r="H46">
        <f>[1]spy!F44/[1]spy!F45-1</f>
        <v>5.6367654498495678E-2</v>
      </c>
    </row>
    <row r="47" spans="1:8">
      <c r="A47" s="7">
        <v>44256</v>
      </c>
      <c r="B47" s="8">
        <v>385.59</v>
      </c>
      <c r="C47" s="8">
        <v>398.12</v>
      </c>
      <c r="D47" s="8">
        <v>371.88</v>
      </c>
      <c r="E47" s="8">
        <v>396.33</v>
      </c>
      <c r="F47" s="8">
        <v>375.57</v>
      </c>
      <c r="G47" s="9">
        <v>2401715800</v>
      </c>
      <c r="H47">
        <f>[1]spy!F45/[1]spy!F46-1</f>
        <v>4.1976473199422992E-2</v>
      </c>
    </row>
    <row r="48" spans="1:8">
      <c r="A48" s="7">
        <v>44228</v>
      </c>
      <c r="B48" s="8">
        <v>373.72</v>
      </c>
      <c r="C48" s="8">
        <v>394.17</v>
      </c>
      <c r="D48" s="8">
        <v>370.38</v>
      </c>
      <c r="E48" s="8">
        <v>380.36</v>
      </c>
      <c r="F48" s="8">
        <v>360.44</v>
      </c>
      <c r="G48" s="9">
        <v>1307806200</v>
      </c>
      <c r="H48">
        <f>[1]spy!F46/[1]spy!F47-1</f>
        <v>2.7831641382456862E-2</v>
      </c>
    </row>
    <row r="49" spans="1:8">
      <c r="A49" s="7">
        <v>44197</v>
      </c>
      <c r="B49" s="8">
        <v>375.31</v>
      </c>
      <c r="C49" s="8">
        <v>385.85</v>
      </c>
      <c r="D49" s="8">
        <v>364.82</v>
      </c>
      <c r="E49" s="8">
        <v>370.07</v>
      </c>
      <c r="F49" s="8">
        <v>350.68</v>
      </c>
      <c r="G49" s="9">
        <v>1402265400</v>
      </c>
      <c r="H49">
        <f>[1]spy!F47/[1]spy!F48-1</f>
        <v>-5.9808951500893714E-3</v>
      </c>
    </row>
    <row r="50" spans="1:8">
      <c r="A50" s="7">
        <v>44166</v>
      </c>
      <c r="B50" s="8">
        <v>365.57</v>
      </c>
      <c r="C50" s="8">
        <v>378.46</v>
      </c>
      <c r="D50" s="8">
        <v>362.03</v>
      </c>
      <c r="E50" s="8">
        <v>373.88</v>
      </c>
      <c r="F50" s="8">
        <v>352.79</v>
      </c>
      <c r="G50" s="9">
        <v>1344541500</v>
      </c>
      <c r="H50">
        <f>[1]spy!F48/[1]spy!F49-1</f>
        <v>3.2636693595597732E-2</v>
      </c>
    </row>
    <row r="51" spans="1:8">
      <c r="A51" s="7">
        <v>44136</v>
      </c>
      <c r="B51" s="8">
        <v>330.2</v>
      </c>
      <c r="C51" s="8">
        <v>364.38</v>
      </c>
      <c r="D51" s="8">
        <v>327.24</v>
      </c>
      <c r="E51" s="8">
        <v>362.06</v>
      </c>
      <c r="F51" s="8">
        <v>341.64</v>
      </c>
      <c r="G51" s="9">
        <v>1535244300</v>
      </c>
      <c r="H51">
        <f>[1]spy!F49/[1]spy!F50-1</f>
        <v>0.10878878359080879</v>
      </c>
    </row>
    <row r="52" spans="1:8">
      <c r="A52" s="7">
        <v>44105</v>
      </c>
      <c r="B52" s="8">
        <v>337.69</v>
      </c>
      <c r="C52" s="8">
        <v>354.02</v>
      </c>
      <c r="D52" s="8">
        <v>322.60000000000002</v>
      </c>
      <c r="E52" s="8">
        <v>326.54000000000002</v>
      </c>
      <c r="F52" s="8">
        <v>308.12</v>
      </c>
      <c r="G52" s="9">
        <v>1629016100</v>
      </c>
      <c r="H52">
        <f>[1]spy!F50/[1]spy!F51-1</f>
        <v>-2.1033233780263116E-2</v>
      </c>
    </row>
    <row r="53" spans="1:8">
      <c r="A53" s="7">
        <v>44075</v>
      </c>
      <c r="B53" s="8">
        <v>350.21</v>
      </c>
      <c r="C53" s="8">
        <v>358.75</v>
      </c>
      <c r="D53" s="8">
        <v>319.8</v>
      </c>
      <c r="E53" s="8">
        <v>334.89</v>
      </c>
      <c r="F53" s="8">
        <v>314.74</v>
      </c>
      <c r="G53" s="9">
        <v>1814712700</v>
      </c>
      <c r="H53">
        <f>[1]spy!F51/[1]spy!F52-1</f>
        <v>-4.1274482926680678E-2</v>
      </c>
    </row>
    <row r="54" spans="1:8">
      <c r="A54" s="7">
        <v>44044</v>
      </c>
      <c r="B54" s="8">
        <v>328.32</v>
      </c>
      <c r="C54" s="8">
        <v>351.3</v>
      </c>
      <c r="D54" s="8">
        <v>327.73</v>
      </c>
      <c r="E54" s="8">
        <v>349.31</v>
      </c>
      <c r="F54" s="8">
        <v>328.29</v>
      </c>
      <c r="G54" s="9">
        <v>1045563300</v>
      </c>
      <c r="H54">
        <f>[1]spy!F52/[1]spy!F53-1</f>
        <v>6.9801544628018464E-2</v>
      </c>
    </row>
    <row r="55" spans="1:8">
      <c r="A55" s="7">
        <v>44013</v>
      </c>
      <c r="B55" s="8">
        <v>309.57</v>
      </c>
      <c r="C55" s="8">
        <v>327.23</v>
      </c>
      <c r="D55" s="8">
        <v>309.07</v>
      </c>
      <c r="E55" s="8">
        <v>326.52</v>
      </c>
      <c r="F55" s="8">
        <v>306.87</v>
      </c>
      <c r="G55" s="9">
        <v>1505145300</v>
      </c>
      <c r="H55">
        <f>[1]spy!F53/[1]spy!F54-1</f>
        <v>6.3526720731960751E-2</v>
      </c>
    </row>
    <row r="56" spans="1:8">
      <c r="A56" s="7">
        <v>43983</v>
      </c>
      <c r="B56" s="8">
        <v>303.62</v>
      </c>
      <c r="C56" s="8">
        <v>323.41000000000003</v>
      </c>
      <c r="D56" s="8">
        <v>296.74</v>
      </c>
      <c r="E56" s="8">
        <v>308.36</v>
      </c>
      <c r="F56" s="8">
        <v>288.54000000000002</v>
      </c>
      <c r="G56" s="9">
        <v>2358674500</v>
      </c>
      <c r="H56">
        <f>[1]spy!F54/[1]spy!F55-1</f>
        <v>1.3274336283185972E-2</v>
      </c>
    </row>
    <row r="57" spans="1:8">
      <c r="A57" s="7">
        <v>43952</v>
      </c>
      <c r="B57" s="8">
        <v>285.31</v>
      </c>
      <c r="C57" s="8">
        <v>306.83999999999997</v>
      </c>
      <c r="D57" s="8">
        <v>272.99</v>
      </c>
      <c r="E57" s="8">
        <v>304.32</v>
      </c>
      <c r="F57" s="8">
        <v>284.76</v>
      </c>
      <c r="G57" s="9">
        <v>1910460500</v>
      </c>
      <c r="H57">
        <f>[1]spy!F55/[1]spy!F56-1</f>
        <v>4.7643574555755741E-2</v>
      </c>
    </row>
    <row r="58" spans="1:8">
      <c r="A58" s="7">
        <v>43922</v>
      </c>
      <c r="B58" s="8">
        <v>247.98</v>
      </c>
      <c r="C58" s="8">
        <v>294.88</v>
      </c>
      <c r="D58" s="8">
        <v>243.9</v>
      </c>
      <c r="E58" s="8">
        <v>290.48</v>
      </c>
      <c r="F58" s="8">
        <v>271.81</v>
      </c>
      <c r="G58" s="9">
        <v>2819312300</v>
      </c>
      <c r="H58">
        <f>[1]spy!F56/[1]spy!F57-1</f>
        <v>0.13362806022438156</v>
      </c>
    </row>
    <row r="59" spans="1:8">
      <c r="A59" s="7">
        <v>43891</v>
      </c>
      <c r="B59" s="8">
        <v>298.20999999999998</v>
      </c>
      <c r="C59" s="8">
        <v>313.83999999999997</v>
      </c>
      <c r="D59" s="8">
        <v>218.26</v>
      </c>
      <c r="E59" s="8">
        <v>257.75</v>
      </c>
      <c r="F59" s="8">
        <v>239.77</v>
      </c>
      <c r="G59" s="9">
        <v>5926017600</v>
      </c>
      <c r="H59">
        <f>[1]spy!F57/[1]spy!F58-1</f>
        <v>-0.1299756885228055</v>
      </c>
    </row>
    <row r="60" spans="1:8">
      <c r="A60" s="7">
        <v>43862</v>
      </c>
      <c r="B60" s="8">
        <v>323.35000000000002</v>
      </c>
      <c r="C60" s="8">
        <v>339.08</v>
      </c>
      <c r="D60" s="8">
        <v>285.54000000000002</v>
      </c>
      <c r="E60" s="8">
        <v>296.26</v>
      </c>
      <c r="F60" s="8">
        <v>275.58999999999997</v>
      </c>
      <c r="G60" s="9">
        <v>2110214900</v>
      </c>
      <c r="H60">
        <f>[1]spy!F58/[1]spy!F59-1</f>
        <v>-7.9187410204149988E-2</v>
      </c>
    </row>
    <row r="61" spans="1:8">
      <c r="A61" s="7">
        <v>43831</v>
      </c>
      <c r="B61" s="8">
        <v>323.54000000000002</v>
      </c>
      <c r="C61" s="8">
        <v>332.95</v>
      </c>
      <c r="D61" s="8">
        <v>320.36</v>
      </c>
      <c r="E61" s="8">
        <v>321.73</v>
      </c>
      <c r="F61" s="8">
        <v>299.29000000000002</v>
      </c>
      <c r="G61" s="9">
        <v>1392003800</v>
      </c>
      <c r="H61">
        <f>[1]spy!F59/[1]spy!F60-1</f>
        <v>4.5311136470431723E-3</v>
      </c>
    </row>
    <row r="62" spans="1:8">
      <c r="A62" s="7">
        <v>43800</v>
      </c>
      <c r="B62" s="8">
        <v>314.58999999999997</v>
      </c>
      <c r="C62" s="8">
        <v>323.8</v>
      </c>
      <c r="D62" s="8">
        <v>307.13</v>
      </c>
      <c r="E62" s="8">
        <v>321.86</v>
      </c>
      <c r="F62" s="8">
        <v>297.94</v>
      </c>
      <c r="G62" s="9">
        <v>1285175800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1110-C584-4781-A2A1-06DE9B84ED85}">
  <dimension ref="A1:O75"/>
  <sheetViews>
    <sheetView topLeftCell="C6" zoomScale="130" workbookViewId="0">
      <selection activeCell="O10" sqref="O10"/>
    </sheetView>
  </sheetViews>
  <sheetFormatPr defaultRowHeight="14.5"/>
  <cols>
    <col min="1" max="1" width="10.08984375" bestFit="1" customWidth="1"/>
    <col min="2" max="2" width="11" bestFit="1" customWidth="1"/>
    <col min="3" max="3" width="10.36328125" bestFit="1" customWidth="1"/>
    <col min="4" max="4" width="9.1796875" bestFit="1" customWidth="1"/>
    <col min="15" max="15" width="60.453125" bestFit="1" customWidth="1"/>
  </cols>
  <sheetData>
    <row r="1" spans="1:15">
      <c r="A1" s="5" t="s">
        <v>0</v>
      </c>
      <c r="B1" s="6"/>
    </row>
    <row r="2" spans="1:15">
      <c r="A2" s="1"/>
      <c r="B2" s="4"/>
    </row>
    <row r="3" spans="1:15">
      <c r="A3" s="1">
        <v>45597</v>
      </c>
      <c r="B3" s="22">
        <f>UNH!H3</f>
        <v>4.9123117803365757E-2</v>
      </c>
      <c r="C3" s="22">
        <f>SPY!H3</f>
        <v>1.4174169949352944E-2</v>
      </c>
      <c r="D3" s="7"/>
      <c r="G3">
        <f>SLOPE(B3:B61,C3:C61)</f>
        <v>0.57680352457714934</v>
      </c>
      <c r="O3" s="20" t="s">
        <v>28</v>
      </c>
    </row>
    <row r="4" spans="1:15">
      <c r="A4" s="1">
        <v>45566</v>
      </c>
      <c r="B4" s="22">
        <f>UNH!H4</f>
        <v>-3.1084258766584827E-2</v>
      </c>
      <c r="C4" s="22">
        <f>SPY!H4</f>
        <v>-5.8915053932623307E-3</v>
      </c>
      <c r="D4" s="7"/>
      <c r="O4" s="20" t="s">
        <v>29</v>
      </c>
    </row>
    <row r="5" spans="1:15">
      <c r="A5" s="1">
        <v>45536</v>
      </c>
      <c r="B5" s="22">
        <f>UNH!H5</f>
        <v>-9.3519919742904856E-3</v>
      </c>
      <c r="C5" s="22">
        <f>SPY!H5</f>
        <v>1.7883835148408966E-2</v>
      </c>
      <c r="D5" s="7"/>
      <c r="O5" s="20" t="s">
        <v>30</v>
      </c>
    </row>
    <row r="6" spans="1:15">
      <c r="A6" s="1">
        <v>45505</v>
      </c>
      <c r="B6" s="22">
        <f>UNH!H6</f>
        <v>2.4367728001114752E-2</v>
      </c>
      <c r="C6" s="22">
        <f>SPY!H6</f>
        <v>2.3364230692185961E-2</v>
      </c>
      <c r="D6" s="7"/>
      <c r="O6" s="20" t="s">
        <v>31</v>
      </c>
    </row>
    <row r="7" spans="1:15">
      <c r="A7" s="1">
        <v>45474</v>
      </c>
      <c r="B7" s="22">
        <f>UNH!H7</f>
        <v>0.13615134963983211</v>
      </c>
      <c r="C7" s="22">
        <f>SPY!H7</f>
        <v>1.5384330911040855E-2</v>
      </c>
      <c r="D7" s="7"/>
    </row>
    <row r="8" spans="1:15">
      <c r="A8" s="1">
        <v>45444</v>
      </c>
      <c r="B8" s="22">
        <f>UNH!H8</f>
        <v>2.8055256037271326E-2</v>
      </c>
      <c r="C8" s="22">
        <f>SPY!H8</f>
        <v>3.1942297784646856E-2</v>
      </c>
      <c r="D8" s="7"/>
      <c r="O8" s="21" t="s">
        <v>32</v>
      </c>
    </row>
    <row r="9" spans="1:15">
      <c r="A9" s="1">
        <v>45413</v>
      </c>
      <c r="B9" s="22">
        <f>UNH!H9</f>
        <v>2.4127513282633517E-2</v>
      </c>
      <c r="C9" s="22">
        <f>SPY!H9</f>
        <v>5.0577339427471779E-2</v>
      </c>
      <c r="D9" s="7"/>
    </row>
    <row r="10" spans="1:15">
      <c r="A10" s="1">
        <v>45383</v>
      </c>
      <c r="B10" s="22">
        <f>UNH!H10</f>
        <v>-1.8386714116251479E-2</v>
      </c>
      <c r="C10" s="22">
        <f>SPY!H10</f>
        <v>-3.7322937975220905E-2</v>
      </c>
      <c r="D10" s="7"/>
      <c r="O10">
        <f>0.3714</f>
        <v>0.37140000000000001</v>
      </c>
    </row>
    <row r="11" spans="1:15">
      <c r="A11" s="7">
        <v>45352</v>
      </c>
      <c r="B11" s="22">
        <f>UNH!H11</f>
        <v>2.2342933278671762E-3</v>
      </c>
      <c r="C11" s="22">
        <f>SPY!H11</f>
        <v>2.9503506645739419E-2</v>
      </c>
      <c r="D11" s="7"/>
    </row>
    <row r="12" spans="1:15">
      <c r="A12" s="1">
        <v>45323</v>
      </c>
      <c r="B12" s="22">
        <f>UNH!H12</f>
        <v>-3.5450195737277035E-2</v>
      </c>
      <c r="C12" s="22">
        <f>SPY!H12</f>
        <v>5.2177185024144368E-2</v>
      </c>
      <c r="D12" s="7"/>
    </row>
    <row r="13" spans="1:15">
      <c r="A13" s="1">
        <v>45292</v>
      </c>
      <c r="B13" s="22">
        <f>UNH!H13</f>
        <v>-2.4663979790578106E-2</v>
      </c>
      <c r="C13" s="22">
        <f>SPY!H13</f>
        <v>2.0043926050706817E-2</v>
      </c>
      <c r="D13" s="7"/>
    </row>
    <row r="14" spans="1:15">
      <c r="A14" s="1">
        <v>45261</v>
      </c>
      <c r="B14" s="22">
        <f>UNH!H14</f>
        <v>-4.7936403025629515E-2</v>
      </c>
      <c r="C14" s="22">
        <f>SPY!H14</f>
        <v>4.1438120405942636E-2</v>
      </c>
      <c r="D14" s="7"/>
    </row>
    <row r="15" spans="1:15">
      <c r="A15" s="1">
        <v>45231</v>
      </c>
      <c r="B15" s="22">
        <f>UNH!H15</f>
        <v>3.2509999431311831E-2</v>
      </c>
      <c r="C15" s="22">
        <f>SPY!H15</f>
        <v>9.1343124424409838E-2</v>
      </c>
      <c r="D15" s="7"/>
    </row>
    <row r="16" spans="1:15">
      <c r="A16" s="1">
        <v>45200</v>
      </c>
      <c r="B16" s="22">
        <f>UNH!H16</f>
        <v>6.6363452597533845E-2</v>
      </c>
      <c r="C16" s="22">
        <f>SPY!H16</f>
        <v>-1.8249304051964121E-2</v>
      </c>
      <c r="D16" s="7"/>
    </row>
    <row r="17" spans="1:4">
      <c r="A17" s="1">
        <v>45170</v>
      </c>
      <c r="B17" s="22">
        <f>UNH!H17</f>
        <v>5.7932892795278024E-2</v>
      </c>
      <c r="C17" s="22">
        <f>SPY!H17</f>
        <v>-5.0792718731649922E-2</v>
      </c>
      <c r="D17" s="7"/>
    </row>
    <row r="18" spans="1:4">
      <c r="A18" s="1">
        <v>45139</v>
      </c>
      <c r="B18" s="22">
        <f>UNH!H18</f>
        <v>-5.8831817083970672E-2</v>
      </c>
      <c r="C18" s="22">
        <f>SPY!H18</f>
        <v>-1.6241196205203368E-2</v>
      </c>
      <c r="D18" s="7"/>
    </row>
    <row r="19" spans="1:4">
      <c r="A19" s="1">
        <v>45108</v>
      </c>
      <c r="B19" s="22">
        <f>UNH!H19</f>
        <v>5.7849128111226999E-2</v>
      </c>
      <c r="C19" s="22">
        <f>SPY!H19</f>
        <v>3.6548293491778239E-2</v>
      </c>
      <c r="D19" s="7"/>
    </row>
    <row r="20" spans="1:4">
      <c r="A20" s="1">
        <v>45078</v>
      </c>
      <c r="B20" s="22">
        <f>UNH!H20</f>
        <v>-1.3547004956733555E-2</v>
      </c>
      <c r="C20" s="22">
        <f>SPY!H20</f>
        <v>6.0858517993696681E-2</v>
      </c>
      <c r="D20" s="7"/>
    </row>
    <row r="21" spans="1:4">
      <c r="A21" s="1">
        <v>45047</v>
      </c>
      <c r="B21" s="22">
        <f>UNH!H21</f>
        <v>-9.8573389344092099E-3</v>
      </c>
      <c r="C21" s="22">
        <f>SPY!H21</f>
        <v>4.6389475234400734E-3</v>
      </c>
      <c r="D21" s="7"/>
    </row>
    <row r="22" spans="1:4">
      <c r="A22" s="1">
        <v>45017</v>
      </c>
      <c r="B22" s="22">
        <f>UNH!H22</f>
        <v>4.4984353268428423E-2</v>
      </c>
      <c r="C22" s="22">
        <f>SPY!H22</f>
        <v>1.9850309144158862E-2</v>
      </c>
      <c r="D22" s="7"/>
    </row>
    <row r="23" spans="1:4">
      <c r="A23" s="1">
        <v>44986</v>
      </c>
      <c r="B23" s="22">
        <f>UNH!H23</f>
        <v>-7.0346553882006946E-3</v>
      </c>
      <c r="C23" s="22">
        <f>SPY!H23</f>
        <v>3.3128167994207036E-2</v>
      </c>
      <c r="D23" s="7"/>
    </row>
    <row r="24" spans="1:4">
      <c r="A24" s="1">
        <v>44958</v>
      </c>
      <c r="B24" s="22">
        <f>UNH!H24</f>
        <v>-4.6578611694029548E-2</v>
      </c>
      <c r="C24" s="22">
        <f>SPY!H24</f>
        <v>-2.513550989537372E-2</v>
      </c>
      <c r="D24" s="7"/>
    </row>
    <row r="25" spans="1:4">
      <c r="A25" s="1">
        <v>44927</v>
      </c>
      <c r="B25" s="22">
        <f>UNH!H25</f>
        <v>-5.5552317108714666E-2</v>
      </c>
      <c r="C25" s="22">
        <f>SPY!H25</f>
        <v>6.7756003014967092E-2</v>
      </c>
      <c r="D25" s="7"/>
    </row>
    <row r="26" spans="1:4">
      <c r="A26" s="1">
        <v>44896</v>
      </c>
      <c r="B26" s="22">
        <f>UNH!H26</f>
        <v>-3.2103362672083136E-2</v>
      </c>
      <c r="C26" s="22">
        <f>SPY!H26</f>
        <v>-6.1942880230297148E-2</v>
      </c>
      <c r="D26" s="7"/>
    </row>
    <row r="27" spans="1:4">
      <c r="A27" s="1">
        <v>44866</v>
      </c>
      <c r="B27" s="22">
        <f>UNH!H27</f>
        <v>-1.3305127205923251E-2</v>
      </c>
      <c r="C27" s="22">
        <f>SPY!H27</f>
        <v>5.5604424896708027E-2</v>
      </c>
      <c r="D27" s="7"/>
    </row>
    <row r="28" spans="1:4">
      <c r="A28" s="1">
        <v>44835</v>
      </c>
      <c r="B28" s="22">
        <f>UNH!H28</f>
        <v>0.10267848008021119</v>
      </c>
      <c r="C28" s="22">
        <f>SPY!H28</f>
        <v>8.5723381471941584E-2</v>
      </c>
      <c r="D28" s="7"/>
    </row>
    <row r="29" spans="1:4">
      <c r="A29" s="1">
        <v>44805</v>
      </c>
      <c r="B29" s="22">
        <f>UNH!H29</f>
        <v>-2.7520197397222224E-2</v>
      </c>
      <c r="C29" s="22">
        <f>SPY!H29</f>
        <v>-9.6157367443563957E-2</v>
      </c>
      <c r="D29" s="7"/>
    </row>
    <row r="30" spans="1:4">
      <c r="A30" s="1">
        <v>44774</v>
      </c>
      <c r="B30" s="22">
        <f>UNH!H30</f>
        <v>-4.2434404832224826E-2</v>
      </c>
      <c r="C30" s="22">
        <f>SPY!H30</f>
        <v>-4.082195905258923E-2</v>
      </c>
      <c r="D30" s="7"/>
    </row>
    <row r="31" spans="1:4">
      <c r="A31" s="1">
        <v>44743</v>
      </c>
      <c r="B31" s="22">
        <f>UNH!H31</f>
        <v>5.9665630174049911E-2</v>
      </c>
      <c r="C31" s="22">
        <f>SPY!H31</f>
        <v>9.6813253343607242E-2</v>
      </c>
      <c r="D31" s="7"/>
    </row>
    <row r="32" spans="1:4">
      <c r="A32" s="1">
        <v>44713</v>
      </c>
      <c r="B32" s="22">
        <f>UNH!H32</f>
        <v>3.3924135195507299E-2</v>
      </c>
      <c r="C32" s="22">
        <f>SPY!H32</f>
        <v>-8.6411062225015711E-2</v>
      </c>
      <c r="D32" s="7"/>
    </row>
    <row r="33" spans="1:4">
      <c r="A33" s="1">
        <v>44682</v>
      </c>
      <c r="B33" s="22">
        <f>UNH!H33</f>
        <v>-2.3146259890692633E-2</v>
      </c>
      <c r="C33" s="22">
        <f>SPY!H33</f>
        <v>2.2678593927176749E-3</v>
      </c>
      <c r="D33" s="7"/>
    </row>
    <row r="34" spans="1:4">
      <c r="A34" s="1">
        <v>44652</v>
      </c>
      <c r="B34" s="22">
        <f>UNH!H34</f>
        <v>1.6317206494265157E-4</v>
      </c>
      <c r="C34" s="22">
        <f>SPY!H34</f>
        <v>-8.4945467960985899E-2</v>
      </c>
      <c r="D34" s="7"/>
    </row>
    <row r="35" spans="1:4">
      <c r="A35" s="1">
        <v>44621</v>
      </c>
      <c r="B35" s="22">
        <f>UNH!H35</f>
        <v>7.1650273224043604E-2</v>
      </c>
      <c r="C35" s="22">
        <f>SPY!H35</f>
        <v>3.4393111837240919E-2</v>
      </c>
      <c r="D35" s="7"/>
    </row>
    <row r="36" spans="1:4">
      <c r="A36" s="1">
        <v>44593</v>
      </c>
      <c r="B36" s="22">
        <f>UNH!H36</f>
        <v>6.9994717379819882E-3</v>
      </c>
      <c r="C36" s="22">
        <f>SPY!H36</f>
        <v>-2.9534985996342855E-2</v>
      </c>
      <c r="D36" s="7"/>
    </row>
    <row r="37" spans="1:4">
      <c r="A37" s="1">
        <v>44562</v>
      </c>
      <c r="B37" s="22">
        <f>UNH!H37</f>
        <v>-5.5821106446652058E-2</v>
      </c>
      <c r="C37" s="22">
        <f>SPY!H37</f>
        <v>-4.9397113184298624E-2</v>
      </c>
      <c r="D37" s="7"/>
    </row>
    <row r="38" spans="1:4">
      <c r="A38" s="1">
        <v>44531</v>
      </c>
      <c r="B38" s="22">
        <f>UNH!H38</f>
        <v>0.13037962788949442</v>
      </c>
      <c r="C38" s="22">
        <f>SPY!H38</f>
        <v>4.2576619563222673E-2</v>
      </c>
      <c r="D38" s="7"/>
    </row>
    <row r="39" spans="1:4">
      <c r="A39" s="1">
        <v>44501</v>
      </c>
      <c r="B39" s="22">
        <f>UNH!H39</f>
        <v>-3.5286118980169978E-2</v>
      </c>
      <c r="C39" s="22">
        <f>SPY!H39</f>
        <v>-8.0327682330184613E-3</v>
      </c>
      <c r="D39" s="7"/>
    </row>
    <row r="40" spans="1:4">
      <c r="A40" s="1">
        <v>44470</v>
      </c>
      <c r="B40" s="22">
        <f>UNH!H40</f>
        <v>0.18259541166380777</v>
      </c>
      <c r="C40" s="22">
        <f>SPY!H40</f>
        <v>7.3583661104732245E-2</v>
      </c>
      <c r="D40" s="7"/>
    </row>
    <row r="41" spans="1:4">
      <c r="A41" s="1">
        <v>44440</v>
      </c>
      <c r="B41" s="22">
        <f>UNH!H41</f>
        <v>-6.1333333333333351E-2</v>
      </c>
      <c r="C41" s="22">
        <f>SPY!H41</f>
        <v>-4.9638968215272472E-2</v>
      </c>
      <c r="D41" s="7"/>
    </row>
    <row r="42" spans="1:4">
      <c r="A42" s="1">
        <v>44409</v>
      </c>
      <c r="B42" s="22">
        <f>UNH!H42</f>
        <v>9.8315677158753445E-3</v>
      </c>
      <c r="C42" s="22">
        <f>SPY!H42</f>
        <v>2.9766174150050118E-2</v>
      </c>
      <c r="D42" s="7"/>
    </row>
    <row r="43" spans="1:4">
      <c r="A43" s="1">
        <v>44378</v>
      </c>
      <c r="B43" s="22">
        <f>UNH!H43</f>
        <v>3.3176723798524765E-2</v>
      </c>
      <c r="C43" s="22">
        <f>SPY!H43</f>
        <v>2.7741602575128255E-2</v>
      </c>
      <c r="D43" s="7"/>
    </row>
    <row r="44" spans="1:4">
      <c r="A44" s="1">
        <v>44348</v>
      </c>
      <c r="B44" s="22">
        <f>UNH!H44</f>
        <v>-2.7863540098492012E-2</v>
      </c>
      <c r="C44" s="22">
        <f>SPY!H44</f>
        <v>1.910652576751648E-2</v>
      </c>
      <c r="D44" s="7"/>
    </row>
    <row r="45" spans="1:4">
      <c r="A45" s="1">
        <v>44317</v>
      </c>
      <c r="B45" s="22">
        <f>UNH!H45</f>
        <v>3.289144242679809E-2</v>
      </c>
      <c r="C45" s="22">
        <f>SPY!H45</f>
        <v>6.5534102938951122E-3</v>
      </c>
      <c r="D45" s="7"/>
    </row>
    <row r="46" spans="1:4">
      <c r="A46" s="1">
        <v>44287</v>
      </c>
      <c r="B46" s="22">
        <f>UNH!H46</f>
        <v>7.5664795600158818E-2</v>
      </c>
      <c r="C46" s="22">
        <f>SPY!H46</f>
        <v>5.6367654498495678E-2</v>
      </c>
      <c r="D46" s="7"/>
    </row>
    <row r="47" spans="1:4">
      <c r="A47" s="1">
        <v>44256</v>
      </c>
      <c r="B47" s="22">
        <f>UNH!H47</f>
        <v>0.11995173990347996</v>
      </c>
      <c r="C47" s="22">
        <f>SPY!H47</f>
        <v>4.1976473199422992E-2</v>
      </c>
      <c r="D47" s="7"/>
    </row>
    <row r="48" spans="1:4">
      <c r="A48" s="1">
        <v>44228</v>
      </c>
      <c r="B48" s="22">
        <f>UNH!H48</f>
        <v>-4.079051383399257E-3</v>
      </c>
      <c r="C48" s="22">
        <f>SPY!H48</f>
        <v>2.7831641382456862E-2</v>
      </c>
      <c r="D48" s="7"/>
    </row>
    <row r="49" spans="1:4">
      <c r="A49" s="1">
        <v>44197</v>
      </c>
      <c r="B49" s="22">
        <f>UNH!H49</f>
        <v>-4.5340658677211931E-2</v>
      </c>
      <c r="C49" s="22">
        <f>SPY!H49</f>
        <v>-5.9808951500893714E-3</v>
      </c>
      <c r="D49" s="7"/>
    </row>
    <row r="50" spans="1:4">
      <c r="A50" s="1">
        <v>44166</v>
      </c>
      <c r="B50" s="22">
        <f>UNH!H50</f>
        <v>4.2614798728479952E-2</v>
      </c>
      <c r="C50" s="22">
        <f>SPY!H50</f>
        <v>3.2636693595597732E-2</v>
      </c>
      <c r="D50" s="7"/>
    </row>
    <row r="51" spans="1:4">
      <c r="A51" s="1">
        <v>44136</v>
      </c>
      <c r="B51" s="22">
        <f>UNH!H51</f>
        <v>0.10227233304423256</v>
      </c>
      <c r="C51" s="22">
        <f>SPY!H51</f>
        <v>0.10878878359080879</v>
      </c>
      <c r="D51" s="7"/>
    </row>
    <row r="52" spans="1:4">
      <c r="A52" s="1">
        <v>44105</v>
      </c>
      <c r="B52" s="22">
        <f>UNH!H52</f>
        <v>-1.7251372268248577E-2</v>
      </c>
      <c r="C52" s="22">
        <f>SPY!H52</f>
        <v>-2.1033233780263116E-2</v>
      </c>
      <c r="D52" s="7"/>
    </row>
    <row r="53" spans="1:4">
      <c r="A53" s="1">
        <v>44075</v>
      </c>
      <c r="B53" s="22">
        <f>UNH!H53</f>
        <v>-2.4826554210312102E-3</v>
      </c>
      <c r="C53" s="22">
        <f>SPY!H53</f>
        <v>-4.1274482926680678E-2</v>
      </c>
      <c r="D53" s="7"/>
    </row>
    <row r="54" spans="1:4">
      <c r="A54" s="1">
        <v>44044</v>
      </c>
      <c r="B54" s="22">
        <f>UNH!H54</f>
        <v>3.2262594347902462E-2</v>
      </c>
      <c r="C54" s="22">
        <f>SPY!H54</f>
        <v>6.9801544628018464E-2</v>
      </c>
      <c r="D54" s="7"/>
    </row>
    <row r="55" spans="1:4">
      <c r="A55" s="1">
        <v>44013</v>
      </c>
      <c r="B55" s="22">
        <f>UNH!H55</f>
        <v>3.0981939266712555E-2</v>
      </c>
      <c r="C55" s="22">
        <f>SPY!H55</f>
        <v>6.3526720731960751E-2</v>
      </c>
      <c r="D55" s="7"/>
    </row>
    <row r="56" spans="1:4">
      <c r="A56" s="1">
        <v>43983</v>
      </c>
      <c r="B56" s="22">
        <f>UNH!H56</f>
        <v>-3.2496410687397059E-2</v>
      </c>
      <c r="C56" s="22">
        <f>SPY!H56</f>
        <v>1.3274336283185972E-2</v>
      </c>
      <c r="D56" s="7"/>
    </row>
    <row r="57" spans="1:4">
      <c r="A57" s="1">
        <v>43952</v>
      </c>
      <c r="B57" s="22">
        <f>UNH!H57</f>
        <v>4.2340402233821184E-2</v>
      </c>
      <c r="C57" s="22">
        <f>SPY!H57</f>
        <v>4.7643574555755741E-2</v>
      </c>
      <c r="D57" s="7"/>
    </row>
    <row r="58" spans="1:4">
      <c r="A58" s="1">
        <v>43922</v>
      </c>
      <c r="B58" s="22">
        <f>UNH!H58</f>
        <v>0.17785898538263134</v>
      </c>
      <c r="C58" s="22">
        <f>SPY!H58</f>
        <v>0.13362806022438156</v>
      </c>
      <c r="D58" s="7"/>
    </row>
    <row r="59" spans="1:4">
      <c r="A59" s="1">
        <v>43891</v>
      </c>
      <c r="B59" s="22">
        <f>UNH!H59</f>
        <v>-2.1867115222876432E-2</v>
      </c>
      <c r="C59" s="22">
        <f>SPY!H59</f>
        <v>-0.1299756885228055</v>
      </c>
      <c r="D59" s="7"/>
    </row>
    <row r="60" spans="1:4">
      <c r="A60" s="1">
        <v>43862</v>
      </c>
      <c r="B60" s="22">
        <f>UNH!H60</f>
        <v>-6.4221627577522367E-2</v>
      </c>
      <c r="C60" s="22">
        <f>SPY!H60</f>
        <v>-7.9187410204149988E-2</v>
      </c>
      <c r="D60" s="7"/>
    </row>
    <row r="61" spans="1:4">
      <c r="A61" s="1">
        <v>43831</v>
      </c>
      <c r="B61" s="22">
        <f>UNH!H61</f>
        <v>-6.9668680212337408E-2</v>
      </c>
      <c r="C61" s="22">
        <f>SPY!H61</f>
        <v>4.5311136470431723E-3</v>
      </c>
      <c r="D61" s="7"/>
    </row>
    <row r="62" spans="1:4">
      <c r="A62" s="1">
        <v>43800</v>
      </c>
      <c r="B62" s="4"/>
      <c r="D62" s="7"/>
    </row>
    <row r="63" spans="1:4">
      <c r="B63" s="4"/>
    </row>
    <row r="64" spans="1:4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CE26-40E1-4292-9ED0-D65AA297E7DD}">
  <dimension ref="A1:H24"/>
  <sheetViews>
    <sheetView tabSelected="1" zoomScale="101" workbookViewId="0">
      <selection activeCell="G26" sqref="G26"/>
    </sheetView>
  </sheetViews>
  <sheetFormatPr defaultRowHeight="14.5"/>
  <cols>
    <col min="1" max="1" width="61.7265625" customWidth="1"/>
    <col min="2" max="2" width="11.36328125" bestFit="1" customWidth="1"/>
    <col min="3" max="3" width="17.1796875" bestFit="1" customWidth="1"/>
    <col min="4" max="4" width="17.1796875" customWidth="1"/>
    <col min="5" max="5" width="27.36328125" customWidth="1"/>
    <col min="6" max="8" width="11.36328125" bestFit="1" customWidth="1"/>
    <col min="10" max="10" width="21.453125" bestFit="1" customWidth="1"/>
  </cols>
  <sheetData>
    <row r="1" spans="1:8">
      <c r="E1" s="25" t="s">
        <v>34</v>
      </c>
      <c r="F1" s="25"/>
      <c r="G1" s="25"/>
      <c r="H1" s="25"/>
    </row>
    <row r="2" spans="1:8">
      <c r="A2" s="11" t="s">
        <v>8</v>
      </c>
      <c r="B2" s="11"/>
      <c r="E2" s="11" t="s">
        <v>8</v>
      </c>
    </row>
    <row r="3" spans="1:8" ht="15" thickBot="1">
      <c r="A3" s="12" t="s">
        <v>9</v>
      </c>
      <c r="B3" s="13">
        <v>45291</v>
      </c>
      <c r="C3" t="s">
        <v>33</v>
      </c>
      <c r="E3" s="12" t="s">
        <v>9</v>
      </c>
      <c r="F3" s="13">
        <v>45657</v>
      </c>
      <c r="G3" s="13">
        <v>46022</v>
      </c>
      <c r="H3" s="13">
        <v>46387</v>
      </c>
    </row>
    <row r="4" spans="1:8">
      <c r="A4" s="14" t="s">
        <v>10</v>
      </c>
      <c r="B4" s="15">
        <v>290827</v>
      </c>
      <c r="C4" s="23">
        <f>B4/B7</f>
        <v>0.7912949313394988</v>
      </c>
      <c r="D4" s="23"/>
      <c r="E4" s="14" t="s">
        <v>10</v>
      </c>
      <c r="F4" s="15">
        <f>C4*$F$7</f>
        <v>328634.51</v>
      </c>
      <c r="G4" s="15">
        <f>C4*$G$7</f>
        <v>371356.99629999994</v>
      </c>
      <c r="H4" s="15">
        <f>C4*$H$7</f>
        <v>419633.40581899992</v>
      </c>
    </row>
    <row r="5" spans="1:8">
      <c r="A5" s="14" t="s">
        <v>11</v>
      </c>
      <c r="B5" s="15">
        <v>42583</v>
      </c>
      <c r="C5" s="23">
        <f>B5/B7</f>
        <v>0.11586170493533914</v>
      </c>
      <c r="D5" s="23"/>
      <c r="E5" s="14" t="s">
        <v>11</v>
      </c>
      <c r="F5" s="15">
        <f t="shared" ref="F5:F6" si="0">C5*$F$7</f>
        <v>48118.789999999994</v>
      </c>
      <c r="G5" s="15">
        <f t="shared" ref="G5:G6" si="1">C5*$G$7</f>
        <v>54374.232699999986</v>
      </c>
      <c r="H5" s="15">
        <f t="shared" ref="H5:H6" si="2">C5*$H$7</f>
        <v>61442.882950999985</v>
      </c>
    </row>
    <row r="6" spans="1:8">
      <c r="A6" s="14" t="s">
        <v>12</v>
      </c>
      <c r="B6" s="15">
        <v>34123</v>
      </c>
      <c r="C6" s="23">
        <f>B6/B7</f>
        <v>9.2843363725162095E-2</v>
      </c>
      <c r="D6" s="23"/>
      <c r="E6" s="14" t="s">
        <v>12</v>
      </c>
      <c r="F6" s="15">
        <f t="shared" si="0"/>
        <v>38558.99</v>
      </c>
      <c r="G6" s="15">
        <f t="shared" si="1"/>
        <v>43571.658699999993</v>
      </c>
      <c r="H6" s="15">
        <f t="shared" si="2"/>
        <v>49235.97433099999</v>
      </c>
    </row>
    <row r="7" spans="1:8">
      <c r="A7" s="16" t="s">
        <v>13</v>
      </c>
      <c r="B7" s="17">
        <v>367533</v>
      </c>
      <c r="C7" s="23">
        <f>B7/B7</f>
        <v>1</v>
      </c>
      <c r="D7" s="23"/>
      <c r="E7" s="16" t="s">
        <v>13</v>
      </c>
      <c r="F7" s="24">
        <f>B7*113%</f>
        <v>415312.29</v>
      </c>
      <c r="G7" s="24">
        <f>F7*113%</f>
        <v>469302.8876999999</v>
      </c>
      <c r="H7" s="24">
        <f>G7*113%</f>
        <v>530312.26310099987</v>
      </c>
    </row>
    <row r="8" spans="1:8">
      <c r="A8" s="14" t="s">
        <v>14</v>
      </c>
      <c r="B8" s="15">
        <v>-241894</v>
      </c>
      <c r="C8" s="23">
        <f>B8/B7</f>
        <v>-0.65815586627595346</v>
      </c>
      <c r="D8" s="23"/>
      <c r="E8" s="14" t="s">
        <v>14</v>
      </c>
      <c r="F8" s="15">
        <f>C8*$F$7</f>
        <v>-273340.21999999997</v>
      </c>
      <c r="G8" s="15">
        <f>C8*$G$7</f>
        <v>-308874.44859999995</v>
      </c>
      <c r="H8" s="15">
        <f>C8*$H$7</f>
        <v>-349028.12691799994</v>
      </c>
    </row>
    <row r="9" spans="1:8">
      <c r="A9" s="14" t="s">
        <v>15</v>
      </c>
      <c r="B9" s="15">
        <v>-38770</v>
      </c>
      <c r="C9" s="23">
        <f>B9/$B$7</f>
        <v>-0.10548712632607141</v>
      </c>
      <c r="D9" s="23"/>
      <c r="E9" s="14" t="s">
        <v>15</v>
      </c>
      <c r="F9" s="15">
        <f t="shared" ref="F9:F21" si="3">C9*$F$7</f>
        <v>-43810.1</v>
      </c>
      <c r="G9" s="15">
        <f t="shared" ref="G9:G21" si="4">C9*$G$7</f>
        <v>-49505.412999999993</v>
      </c>
      <c r="H9" s="15">
        <f t="shared" ref="H9:H21" si="5">C9*$H$7</f>
        <v>-55941.116689999988</v>
      </c>
    </row>
    <row r="10" spans="1:8">
      <c r="A10" s="18" t="s">
        <v>16</v>
      </c>
      <c r="B10" s="17">
        <v>-280664</v>
      </c>
      <c r="C10" s="23">
        <f t="shared" ref="C10:C21" si="6">B10/$B$7</f>
        <v>-0.76364299260202484</v>
      </c>
      <c r="D10" s="23"/>
      <c r="E10" s="18" t="s">
        <v>16</v>
      </c>
      <c r="F10" s="24">
        <f t="shared" si="3"/>
        <v>-317150.32</v>
      </c>
      <c r="G10" s="24">
        <f t="shared" si="4"/>
        <v>-358379.86159999995</v>
      </c>
      <c r="H10" s="24">
        <f t="shared" si="5"/>
        <v>-404969.24360799987</v>
      </c>
    </row>
    <row r="11" spans="1:8">
      <c r="A11" s="16" t="s">
        <v>17</v>
      </c>
      <c r="B11" s="17">
        <v>86869</v>
      </c>
      <c r="C11" s="23">
        <f t="shared" si="6"/>
        <v>0.23635700739797516</v>
      </c>
      <c r="D11" s="23"/>
      <c r="E11" s="16" t="s">
        <v>17</v>
      </c>
      <c r="F11" s="24">
        <f t="shared" si="3"/>
        <v>98161.97</v>
      </c>
      <c r="G11" s="24">
        <f t="shared" si="4"/>
        <v>110923.02609999999</v>
      </c>
      <c r="H11" s="24">
        <f t="shared" si="5"/>
        <v>125343.01949299997</v>
      </c>
    </row>
    <row r="12" spans="1:8">
      <c r="A12" s="14" t="s">
        <v>18</v>
      </c>
      <c r="B12" s="15">
        <v>4089</v>
      </c>
      <c r="C12" s="23">
        <f t="shared" si="6"/>
        <v>1.1125531584918906E-2</v>
      </c>
      <c r="D12" s="23"/>
      <c r="E12" s="14" t="s">
        <v>18</v>
      </c>
      <c r="F12" s="15">
        <f t="shared" si="3"/>
        <v>4620.57</v>
      </c>
      <c r="G12" s="15">
        <f t="shared" si="4"/>
        <v>5221.244099999999</v>
      </c>
      <c r="H12" s="15">
        <f t="shared" si="5"/>
        <v>5900.0058329999993</v>
      </c>
    </row>
    <row r="13" spans="1:8">
      <c r="A13" s="14" t="s">
        <v>19</v>
      </c>
      <c r="B13" s="15">
        <v>-54628</v>
      </c>
      <c r="C13" s="23">
        <f t="shared" si="6"/>
        <v>-0.14863427229663731</v>
      </c>
      <c r="D13" s="23"/>
      <c r="E13" s="14" t="s">
        <v>19</v>
      </c>
      <c r="F13" s="15">
        <f t="shared" si="3"/>
        <v>-61729.64</v>
      </c>
      <c r="G13" s="15">
        <f t="shared" si="4"/>
        <v>-69754.493199999983</v>
      </c>
      <c r="H13" s="15">
        <f t="shared" si="5"/>
        <v>-78822.577315999981</v>
      </c>
    </row>
    <row r="14" spans="1:8" ht="29">
      <c r="A14" s="14" t="s">
        <v>20</v>
      </c>
      <c r="B14" s="15">
        <v>-3972</v>
      </c>
      <c r="C14" s="23">
        <f t="shared" si="6"/>
        <v>-1.0807192823501562E-2</v>
      </c>
      <c r="D14" s="23"/>
      <c r="E14" s="14" t="s">
        <v>20</v>
      </c>
      <c r="F14" s="15">
        <f t="shared" si="3"/>
        <v>-4488.3599999999997</v>
      </c>
      <c r="G14" s="15">
        <f t="shared" si="4"/>
        <v>-5071.8467999999984</v>
      </c>
      <c r="H14" s="15">
        <f t="shared" si="5"/>
        <v>-5731.1868839999979</v>
      </c>
    </row>
    <row r="15" spans="1:8">
      <c r="A15" s="16" t="s">
        <v>21</v>
      </c>
      <c r="B15" s="17">
        <v>32358</v>
      </c>
      <c r="C15" s="23">
        <f t="shared" si="6"/>
        <v>8.8041073862755184E-2</v>
      </c>
      <c r="D15" s="23"/>
      <c r="E15" s="16" t="s">
        <v>21</v>
      </c>
      <c r="F15" s="24">
        <f t="shared" si="3"/>
        <v>36564.54</v>
      </c>
      <c r="G15" s="24">
        <f t="shared" si="4"/>
        <v>41317.930199999995</v>
      </c>
      <c r="H15" s="24">
        <f t="shared" si="5"/>
        <v>46689.26112599999</v>
      </c>
    </row>
    <row r="16" spans="1:8">
      <c r="A16" s="14" t="s">
        <v>22</v>
      </c>
      <c r="B16" s="15">
        <v>-3246</v>
      </c>
      <c r="C16" s="23">
        <f t="shared" si="6"/>
        <v>-8.8318599962452348E-3</v>
      </c>
      <c r="D16" s="23"/>
      <c r="E16" s="14" t="s">
        <v>22</v>
      </c>
      <c r="F16" s="15">
        <f t="shared" si="3"/>
        <v>-3667.9799999999996</v>
      </c>
      <c r="G16" s="15">
        <f t="shared" si="4"/>
        <v>-4144.817399999999</v>
      </c>
      <c r="H16" s="15">
        <f t="shared" si="5"/>
        <v>-4683.6436619999986</v>
      </c>
    </row>
    <row r="17" spans="1:8" ht="14.5" customHeight="1">
      <c r="A17" s="16" t="s">
        <v>23</v>
      </c>
      <c r="B17" s="17">
        <v>29112</v>
      </c>
      <c r="C17" s="23">
        <f t="shared" si="6"/>
        <v>7.9209213866509948E-2</v>
      </c>
      <c r="D17" s="23"/>
      <c r="E17" s="16" t="s">
        <v>23</v>
      </c>
      <c r="F17" s="24">
        <f t="shared" si="3"/>
        <v>32896.559999999998</v>
      </c>
      <c r="G17" s="24">
        <f t="shared" si="4"/>
        <v>37173.112799999995</v>
      </c>
      <c r="H17" s="24">
        <f t="shared" si="5"/>
        <v>42005.617463999988</v>
      </c>
    </row>
    <row r="18" spans="1:8">
      <c r="A18" s="14" t="s">
        <v>24</v>
      </c>
      <c r="B18" s="15">
        <v>-5968</v>
      </c>
      <c r="C18" s="23">
        <f t="shared" si="6"/>
        <v>-1.6237997676399125E-2</v>
      </c>
      <c r="D18" s="23"/>
      <c r="E18" s="14" t="s">
        <v>24</v>
      </c>
      <c r="F18" s="15">
        <f t="shared" si="3"/>
        <v>-6743.8399999999992</v>
      </c>
      <c r="G18" s="15">
        <f t="shared" si="4"/>
        <v>-7620.5391999999974</v>
      </c>
      <c r="H18" s="15">
        <f t="shared" si="5"/>
        <v>-8611.2092959999973</v>
      </c>
    </row>
    <row r="19" spans="1:8">
      <c r="A19" s="16" t="s">
        <v>25</v>
      </c>
      <c r="B19" s="17">
        <v>23144</v>
      </c>
      <c r="C19" s="23">
        <f t="shared" si="6"/>
        <v>6.2971216190110826E-2</v>
      </c>
      <c r="D19" s="23"/>
      <c r="E19" s="16" t="s">
        <v>25</v>
      </c>
      <c r="F19" s="24">
        <f t="shared" si="3"/>
        <v>26152.720000000001</v>
      </c>
      <c r="G19" s="24">
        <f t="shared" si="4"/>
        <v>29552.573599999996</v>
      </c>
      <c r="H19" s="24">
        <f t="shared" si="5"/>
        <v>33394.408167999994</v>
      </c>
    </row>
    <row r="20" spans="1:8" ht="29">
      <c r="A20" s="14" t="s">
        <v>26</v>
      </c>
      <c r="B20" s="15">
        <v>-763</v>
      </c>
      <c r="C20" s="23">
        <f t="shared" si="6"/>
        <v>-2.0760040594994191E-3</v>
      </c>
      <c r="D20" s="23"/>
      <c r="E20" s="14" t="s">
        <v>26</v>
      </c>
      <c r="F20" s="15">
        <f t="shared" si="3"/>
        <v>-862.18999999999994</v>
      </c>
      <c r="G20" s="15">
        <f t="shared" si="4"/>
        <v>-974.27469999999983</v>
      </c>
      <c r="H20" s="15">
        <f t="shared" si="5"/>
        <v>-1100.9304109999998</v>
      </c>
    </row>
    <row r="21" spans="1:8" ht="43.5">
      <c r="A21" s="19" t="s">
        <v>27</v>
      </c>
      <c r="B21" s="17">
        <v>22381</v>
      </c>
      <c r="C21" s="23">
        <f t="shared" si="6"/>
        <v>6.0895212130611401E-2</v>
      </c>
      <c r="D21" s="23"/>
      <c r="E21" s="19" t="s">
        <v>27</v>
      </c>
      <c r="F21" s="24">
        <f t="shared" si="3"/>
        <v>25290.53</v>
      </c>
      <c r="G21" s="24">
        <f t="shared" si="4"/>
        <v>28578.298899999994</v>
      </c>
      <c r="H21" s="24">
        <f t="shared" si="5"/>
        <v>32293.477756999993</v>
      </c>
    </row>
    <row r="24" spans="1:8">
      <c r="E24" t="s">
        <v>35</v>
      </c>
    </row>
  </sheetData>
  <mergeCells count="1">
    <mergeCell ref="E1:H1"/>
  </mergeCells>
  <pageMargins left="0.7" right="0.7" top="0.75" bottom="0.75" header="0.3" footer="0.3"/>
  <ignoredErrors>
    <ignoredError sqref="F7:H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4e4308-38d0-4332-ac79-865f6b11d3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4C233938DD9644ACE070085E6D3983" ma:contentTypeVersion="6" ma:contentTypeDescription="Create a new document." ma:contentTypeScope="" ma:versionID="125e65b08d106989da3762d227c12948">
  <xsd:schema xmlns:xsd="http://www.w3.org/2001/XMLSchema" xmlns:xs="http://www.w3.org/2001/XMLSchema" xmlns:p="http://schemas.microsoft.com/office/2006/metadata/properties" xmlns:ns3="704e4308-38d0-4332-ac79-865f6b11d3bd" targetNamespace="http://schemas.microsoft.com/office/2006/metadata/properties" ma:root="true" ma:fieldsID="3d2e8d3de41cd86c6eb6f52d296de57f" ns3:_="">
    <xsd:import namespace="704e4308-38d0-4332-ac79-865f6b11d3b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e4308-38d0-4332-ac79-865f6b11d3b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59230E-894B-40DB-9D34-92D3002A371D}">
  <ds:schemaRefs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04e4308-38d0-4332-ac79-865f6b11d3b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ECE51E-F324-4B8B-803B-4621807863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95794C-81C7-4532-9C43-582E3009C5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4e4308-38d0-4332-ac79-865f6b11d3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UNH</vt:lpstr>
      <vt:lpstr>SPY</vt:lpstr>
      <vt:lpstr>Sheet4</vt:lpstr>
      <vt:lpstr>Proforma 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Jasmeet</dc:creator>
  <cp:lastModifiedBy>Jasmeet kaur</cp:lastModifiedBy>
  <dcterms:created xsi:type="dcterms:W3CDTF">2024-11-17T07:05:14Z</dcterms:created>
  <dcterms:modified xsi:type="dcterms:W3CDTF">2026-09-01T00:14:01Z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0x010100814C233938DD9644ACE070085E6D3983</vt:lpwstr>
  </property>
</Properties>
</file>